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h.wei.chean\Desktop\"/>
    </mc:Choice>
  </mc:AlternateContent>
  <xr:revisionPtr revIDLastSave="0" documentId="13_ncr:2001_{A7EE87B0-9594-4768-B094-820216568058}" xr6:coauthVersionLast="47" xr6:coauthVersionMax="47" xr10:uidLastSave="{00000000-0000-0000-0000-000000000000}"/>
  <bookViews>
    <workbookView xWindow="28635" yWindow="-165" windowWidth="29130" windowHeight="15810" tabRatio="563" activeTab="1" xr2:uid="{CD487B4A-C196-4CA5-A838-5703D395908E}"/>
  </bookViews>
  <sheets>
    <sheet name="Prod Planning Plant 5 &amp; 6(D365)" sheetId="6" r:id="rId1"/>
    <sheet name="Sheet1" sheetId="21" r:id="rId2"/>
    <sheet name="Pivot CPCF" sheetId="8" state="hidden" r:id="rId3"/>
    <sheet name="AM" sheetId="20" state="hidden" r:id="rId4"/>
    <sheet name="Product Color" sheetId="14" state="hidden" r:id="rId5"/>
  </sheets>
  <definedNames>
    <definedName name="_xlnm._FilterDatabase" localSheetId="0" hidden="1">'Prod Planning Plant 5 &amp; 6(D365)'!$A$7:$I$70</definedName>
    <definedName name="JMCOLUMN" localSheetId="2">#REF!</definedName>
    <definedName name="JMCOLUMN">#REF!</definedName>
    <definedName name="JMROW" localSheetId="2">#REF!</definedName>
    <definedName name="JMROW">#REF!</definedName>
    <definedName name="JMTABLE" localSheetId="2">#REF!</definedName>
    <definedName name="JMTABLE">#REF!</definedName>
    <definedName name="_xlnm.Print_Area" localSheetId="0">'Prod Planning Plant 5 &amp; 6(D365)'!$A$1:$I$83</definedName>
  </definedNames>
  <calcPr calcId="191029"/>
  <pivotCaches>
    <pivotCache cacheId="0" r:id="rId6"/>
    <pivotCache cacheId="1" r:id="rId7"/>
    <pivotCache cacheId="2" r:id="rId8"/>
    <pivotCache cacheId="3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1" l="1"/>
  <c r="E26" i="21"/>
  <c r="E25" i="21"/>
  <c r="E24" i="21"/>
  <c r="E23" i="21"/>
  <c r="E22" i="21"/>
  <c r="J24" i="6"/>
  <c r="E21" i="21"/>
  <c r="J16" i="6"/>
  <c r="E20" i="21"/>
  <c r="AB4" i="8"/>
  <c r="AB5" i="8"/>
  <c r="AB6" i="8"/>
  <c r="AB7" i="8"/>
  <c r="AB8" i="8"/>
  <c r="AB9" i="8"/>
  <c r="Q11" i="8"/>
  <c r="S11" i="8"/>
  <c r="T11" i="8"/>
  <c r="U11" i="8"/>
  <c r="V11" i="8"/>
  <c r="W11" i="8"/>
  <c r="Z11" i="8"/>
  <c r="AA11" i="8"/>
  <c r="AB11" i="8"/>
  <c r="Q12" i="8"/>
  <c r="S12" i="8"/>
  <c r="T12" i="8"/>
  <c r="U12" i="8"/>
  <c r="V12" i="8"/>
  <c r="W12" i="8"/>
  <c r="Z12" i="8"/>
  <c r="AA12" i="8"/>
  <c r="AB12" i="8"/>
  <c r="Q13" i="8"/>
  <c r="S13" i="8"/>
  <c r="T13" i="8"/>
  <c r="U13" i="8"/>
  <c r="V13" i="8"/>
  <c r="W13" i="8"/>
  <c r="Z13" i="8"/>
  <c r="AA13" i="8"/>
  <c r="AB13" i="8"/>
  <c r="Q14" i="8"/>
  <c r="S14" i="8"/>
  <c r="T14" i="8"/>
  <c r="U14" i="8"/>
  <c r="V14" i="8"/>
  <c r="W14" i="8"/>
  <c r="Z14" i="8"/>
  <c r="AA14" i="8"/>
  <c r="AB14" i="8"/>
  <c r="Q15" i="8"/>
  <c r="S15" i="8"/>
  <c r="T15" i="8"/>
  <c r="U15" i="8"/>
  <c r="V15" i="8"/>
  <c r="W15" i="8"/>
  <c r="Z15" i="8"/>
  <c r="AA15" i="8"/>
  <c r="AB15" i="8"/>
  <c r="Q16" i="8"/>
  <c r="S16" i="8"/>
  <c r="T16" i="8"/>
  <c r="U16" i="8"/>
  <c r="V16" i="8"/>
  <c r="W16" i="8"/>
  <c r="Z16" i="8"/>
  <c r="AA16" i="8"/>
  <c r="AB16" i="8"/>
  <c r="T38" i="8"/>
  <c r="AE38" i="8"/>
  <c r="T39" i="8"/>
  <c r="AE39" i="8"/>
  <c r="T40" i="8"/>
  <c r="AE40" i="8"/>
  <c r="T41" i="8"/>
  <c r="AE41" i="8"/>
  <c r="T42" i="8"/>
  <c r="AE42" i="8"/>
  <c r="T44" i="8"/>
  <c r="V44" i="8"/>
  <c r="W44" i="8"/>
  <c r="Z44" i="8"/>
  <c r="AA44" i="8"/>
  <c r="AB44" i="8"/>
  <c r="AC44" i="8"/>
  <c r="AD44" i="8"/>
  <c r="AE44" i="8"/>
  <c r="T45" i="8"/>
  <c r="V45" i="8"/>
  <c r="W45" i="8"/>
  <c r="Z45" i="8"/>
  <c r="AA45" i="8"/>
  <c r="AB45" i="8"/>
  <c r="AC45" i="8"/>
  <c r="AD45" i="8"/>
  <c r="AE45" i="8"/>
  <c r="T46" i="8"/>
  <c r="V46" i="8"/>
  <c r="W46" i="8"/>
  <c r="Z46" i="8"/>
  <c r="AA46" i="8"/>
  <c r="AB46" i="8"/>
  <c r="AC46" i="8"/>
  <c r="AD46" i="8"/>
  <c r="AE46" i="8"/>
  <c r="T47" i="8"/>
  <c r="V47" i="8"/>
  <c r="W47" i="8"/>
  <c r="Z47" i="8"/>
  <c r="AA47" i="8"/>
  <c r="AB47" i="8"/>
  <c r="AC47" i="8"/>
  <c r="AD47" i="8"/>
  <c r="AE47" i="8"/>
  <c r="T48" i="8"/>
  <c r="V48" i="8"/>
  <c r="W48" i="8"/>
  <c r="Z48" i="8"/>
  <c r="AA48" i="8"/>
  <c r="AB48" i="8"/>
  <c r="AC48" i="8"/>
  <c r="AD48" i="8"/>
  <c r="AE4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Nurul Aziani Binti Syaari</author>
  </authors>
  <commentList>
    <comment ref="A62" authorId="0" shapeId="0" xr:uid="{4A2FFD70-5B14-477A-9608-8F8D509E0611}">
      <text>
        <r>
          <rPr>
            <b/>
            <sz val="9"/>
            <color indexed="81"/>
            <rFont val="Tahoma"/>
            <family val="2"/>
          </rPr>
          <t>Nurul Aziani Binti Syaari:</t>
        </r>
        <r>
          <rPr>
            <sz val="9"/>
            <color indexed="81"/>
            <rFont val="Tahoma"/>
            <family val="2"/>
          </rPr>
          <t xml:space="preserve">
Delay MW</t>
        </r>
      </text>
    </comment>
    <comment ref="C76" authorId="0" shapeId="0" xr:uid="{599A6B3B-3973-4F35-A641-99AFC0F603B0}">
      <text>
        <r>
          <rPr>
            <b/>
            <sz val="9"/>
            <color indexed="81"/>
            <rFont val="Tahoma"/>
            <family val="2"/>
          </rPr>
          <t>Nurul Aziani Binti Syaari:</t>
        </r>
        <r>
          <rPr>
            <sz val="9"/>
            <color indexed="81"/>
            <rFont val="Tahoma"/>
            <family val="2"/>
          </rPr>
          <t xml:space="preserve">
L66 - ASM4</t>
        </r>
      </text>
    </comment>
    <comment ref="D76" authorId="0" shapeId="0" xr:uid="{9B4425B4-A1AC-41C1-BDEE-159B328CFFF8}">
      <text>
        <r>
          <rPr>
            <b/>
            <sz val="9"/>
            <color indexed="81"/>
            <rFont val="Tahoma"/>
            <family val="2"/>
          </rPr>
          <t>Nurul Aziani Binti Syaari:</t>
        </r>
        <r>
          <rPr>
            <sz val="9"/>
            <color indexed="81"/>
            <rFont val="Tahoma"/>
            <family val="2"/>
          </rPr>
          <t xml:space="preserve">
L61 - Safedon</t>
        </r>
      </text>
    </comment>
    <comment ref="F76" authorId="0" shapeId="0" xr:uid="{1E597257-3B32-4C4C-97D5-2BBFE37E8227}">
      <text>
        <r>
          <rPr>
            <b/>
            <sz val="9"/>
            <color indexed="81"/>
            <rFont val="Tahoma"/>
            <family val="2"/>
          </rPr>
          <t>Nurul Aziani Binti Syaari:</t>
        </r>
        <r>
          <rPr>
            <sz val="9"/>
            <color indexed="81"/>
            <rFont val="Tahoma"/>
            <family val="2"/>
          </rPr>
          <t xml:space="preserve">
L61 - Safedon
L66 - ASM4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Nurul Aziani Binti Syaari</author>
  </authors>
  <commentList>
    <comment ref="B14" authorId="0" shapeId="0" xr:uid="{56AF33F5-34BE-4EAB-8EA3-8595789959B0}">
      <text>
        <r>
          <rPr>
            <b/>
            <sz val="9"/>
            <color indexed="81"/>
            <rFont val="Tahoma"/>
            <family val="2"/>
          </rPr>
          <t>Nurul Aziani Binti Syaari:</t>
        </r>
        <r>
          <rPr>
            <sz val="9"/>
            <color indexed="81"/>
            <rFont val="Tahoma"/>
            <family val="2"/>
          </rPr>
          <t xml:space="preserve">
Delay MW</t>
        </r>
      </text>
    </comment>
  </commentList>
</comments>
</file>

<file path=xl/sharedStrings.xml><?xml version="1.0" encoding="utf-8"?>
<sst xmlns="http://schemas.openxmlformats.org/spreadsheetml/2006/main" count="1173" uniqueCount="228">
  <si>
    <t>NGC Line #</t>
  </si>
  <si>
    <t>Period of Production</t>
  </si>
  <si>
    <t>Reviewed by :</t>
  </si>
  <si>
    <t>Approved by :</t>
  </si>
  <si>
    <t>Production Plant : 5</t>
  </si>
  <si>
    <t>Remarks:-</t>
  </si>
  <si>
    <t>NB-AB-OLPF-032-SE-DKBU-EN6N</t>
  </si>
  <si>
    <t xml:space="preserve">Production Plan (NGC)   </t>
  </si>
  <si>
    <t>Glove Code</t>
  </si>
  <si>
    <t>LT</t>
  </si>
  <si>
    <t>LB</t>
  </si>
  <si>
    <t>RT</t>
  </si>
  <si>
    <t>RB</t>
  </si>
  <si>
    <t>Start Date</t>
  </si>
  <si>
    <t>End Date</t>
  </si>
  <si>
    <t/>
  </si>
  <si>
    <t>Former Size by tier (7523pcs of formers per tier)</t>
  </si>
  <si>
    <t>Date:</t>
  </si>
  <si>
    <t>NB-AB-OLPF-030-SE-OBLU-EN6N</t>
  </si>
  <si>
    <t>WDP</t>
  </si>
  <si>
    <t>NB-AB-OLPF-032-SE-DAWN-OM6N</t>
  </si>
  <si>
    <t>FI</t>
  </si>
  <si>
    <t>CP</t>
  </si>
  <si>
    <t>CPCF2</t>
  </si>
  <si>
    <t>CF2</t>
  </si>
  <si>
    <t>CPCF1</t>
  </si>
  <si>
    <t>CF1</t>
  </si>
  <si>
    <t>CF3</t>
  </si>
  <si>
    <t>Plant 5</t>
  </si>
  <si>
    <t>Count of WDP</t>
  </si>
  <si>
    <t>REV</t>
  </si>
  <si>
    <t>Product type</t>
  </si>
  <si>
    <t>Grand Total</t>
  </si>
  <si>
    <t>Plant 6</t>
  </si>
  <si>
    <t>NB-AB-OLPF-027-SE-WHTE-ASTM</t>
  </si>
  <si>
    <t>NB-AB-OLPF-027-SE-DKBU-ASTM</t>
  </si>
  <si>
    <t>NB-AB-OLPF-032-SE-VBLU-EN6N</t>
  </si>
  <si>
    <t>NB-AB-OLPF-030-SE-DKBU-EN6N</t>
  </si>
  <si>
    <t>Total</t>
  </si>
  <si>
    <t>(blank)</t>
  </si>
  <si>
    <t>Count of NGC Line #</t>
  </si>
  <si>
    <t>NO DEMAND</t>
  </si>
  <si>
    <t>REV 0 DRAFT@20.08</t>
  </si>
  <si>
    <t>ANNUAL MAINTENANCE</t>
  </si>
  <si>
    <t>NB-AB-OLPF-027-SE-TTBU-ASTM</t>
  </si>
  <si>
    <t>NB-AB-OLPF-040-SE-OBLU-EN6N</t>
  </si>
  <si>
    <t>CPD Version</t>
  </si>
  <si>
    <t>NB-AB-OLPF-030-SE-WHTE-EN6N</t>
  </si>
  <si>
    <t>CF4</t>
  </si>
  <si>
    <t>M</t>
  </si>
  <si>
    <t>S</t>
  </si>
  <si>
    <t>XL</t>
  </si>
  <si>
    <t>CF</t>
  </si>
  <si>
    <t>L</t>
  </si>
  <si>
    <t>Product Color</t>
  </si>
  <si>
    <t>NB-AB-OLPF-032-SE-WHTE-EN6N</t>
  </si>
  <si>
    <t>NB-AB-OLPF-035-SE-WHTE-EN6N</t>
  </si>
  <si>
    <t>NB-AB-OLPF-027-SE-OBLU-ASTM</t>
  </si>
  <si>
    <t>NB-AB-OLPF-030-SE-VBLU-EN6N</t>
  </si>
  <si>
    <t>NB-AB-OLPF-035-SE-VBLU-EN6N</t>
  </si>
  <si>
    <t>NB-AB-OLPF-035-SE-WHTE-OM6N</t>
  </si>
  <si>
    <t>NB-AB-OLPF-032-SE-LAVE-ASTM</t>
  </si>
  <si>
    <t>**Line 54 (26 Feb'22 onwards), Line 51 (26 Feb'22 onwards): Scale up of HSD filler.</t>
  </si>
  <si>
    <t>**Line 49 (3 March'22 onwards), Line 55 (11 March'22 onwards), L57(18 March'22 onwards), L50 (24 March'22 onwards), L56(28 March'22 onwards) : Scale up of HSD filler.</t>
  </si>
  <si>
    <t>**Line 59 (5 April'22 onwards), Line 58 (9 Arpil'22 onwards), Line 52 (13 Apil'22 onwards), Line 53 (12 Apil'22 onwards)   : Scale up of HSD filler.</t>
  </si>
  <si>
    <t>**Line 72 (11 April'22 onwards), Line 71 (13 April'22 onwards), L69 (16 April'22 onwards), L67 (22 April'22 onwards), L68 (23 April'22 onwards), L60 (31 May'22 onwards) : Scale up of HSD filler.</t>
  </si>
  <si>
    <t>**Line 61 (2 May'22 onwards), Line 65 (5 May'22 onwards), L64 (14 May'22 onwards), L62 (20 May'22 onwards), L70 (22 May'22 onwards), L63 (23 May'22 onwards), L66 (27 May'22 onwards) : Scale up of HSD filler.</t>
  </si>
  <si>
    <t>NB-AB-OLPF-035-SE-VBLU-ASTM</t>
  </si>
  <si>
    <t>Line</t>
  </si>
  <si>
    <t>Prepared by : Aziani</t>
  </si>
  <si>
    <t>MODIFICATION WORK</t>
  </si>
  <si>
    <t>NB-AB-OLPF-032-SE-WHTE-OM6N</t>
  </si>
  <si>
    <t>NB-AB-OLPF-032-SE-MTBU-ACCF</t>
  </si>
  <si>
    <t>NB-AB-OLPF-027-SE-DCBU-ASTM</t>
  </si>
  <si>
    <t>Remark</t>
  </si>
  <si>
    <t>NB-AB-OLPF-035-SE-OBLU-ASTM</t>
  </si>
  <si>
    <t>NB-AB-OLPF-034-SE-GREY-ASTM</t>
  </si>
  <si>
    <t>NB-AB-OLPF-038-SE-GREY-ASTM</t>
  </si>
  <si>
    <t>CPCF</t>
  </si>
  <si>
    <t>NB-AB-OLPF-027-SE-MTBU-ASTM</t>
  </si>
  <si>
    <t>NB-AB-AMPF-030-SE-VBLU-EN6N</t>
  </si>
  <si>
    <t>PENDING ORDER</t>
  </si>
  <si>
    <t>NB-AB-OLPF-032-SE-TUGR-BDOM</t>
  </si>
  <si>
    <t>Month</t>
  </si>
  <si>
    <t>-</t>
  </si>
  <si>
    <t>FICF</t>
  </si>
  <si>
    <t>NB-AB-OLPF-034-SE-VBLU-EN6N</t>
  </si>
  <si>
    <t>OBSOLETE</t>
  </si>
  <si>
    <t>INACTIVE</t>
  </si>
  <si>
    <t>01-Oct</t>
  </si>
  <si>
    <t>03-Oct</t>
  </si>
  <si>
    <t>07-Oct</t>
  </si>
  <si>
    <t>08-Oct</t>
  </si>
  <si>
    <t>14-Oct</t>
  </si>
  <si>
    <t>02-Oct</t>
  </si>
  <si>
    <t>17-Oct</t>
  </si>
  <si>
    <t>09-Oct</t>
  </si>
  <si>
    <t>19-Oct</t>
  </si>
  <si>
    <t>25-Oct</t>
  </si>
  <si>
    <t>27-Oct</t>
  </si>
  <si>
    <t>FICF2</t>
  </si>
  <si>
    <t>21-Oct</t>
  </si>
  <si>
    <t>NB-AB-OLPF-035-SE-VBLU-BIOD</t>
  </si>
  <si>
    <t>NB-AB-OLPF-035-SE-DAWN-OM6N</t>
  </si>
  <si>
    <t>NB-AB-OLPF-032-SE-LSBU-EN6N</t>
  </si>
  <si>
    <t>P6</t>
  </si>
  <si>
    <t>NB-AB-OLPF-033-SE-VIOL-ASTM</t>
  </si>
  <si>
    <t>P5</t>
  </si>
  <si>
    <t>NB-AB-OLPF-037-SE-DBLU-EN7N</t>
  </si>
  <si>
    <t>NB-AB-OLPF-037-SE-LVBU-EN6N</t>
  </si>
  <si>
    <t>NB-AB-AMPF-032-SE-VBLU-EN6N</t>
  </si>
  <si>
    <t>HIK PROGRESS</t>
  </si>
  <si>
    <t>Start</t>
  </si>
  <si>
    <t>End</t>
  </si>
  <si>
    <t>Status</t>
  </si>
  <si>
    <t>Completed</t>
  </si>
  <si>
    <t>ASM4 line</t>
  </si>
  <si>
    <t>Scheduled</t>
  </si>
  <si>
    <t>Line Uptime (Hours)</t>
  </si>
  <si>
    <t>Line Uptime (Month)</t>
  </si>
  <si>
    <t>Last AM Date</t>
  </si>
  <si>
    <t>Status on 2024</t>
  </si>
  <si>
    <t>Proposed Date (2025)</t>
  </si>
  <si>
    <t>Updated as of 17/1</t>
  </si>
  <si>
    <t>Remarks</t>
  </si>
  <si>
    <t>Feb'23</t>
  </si>
  <si>
    <t>Mar'23</t>
  </si>
  <si>
    <t>Apr'23</t>
  </si>
  <si>
    <t>May'23</t>
  </si>
  <si>
    <t>Jun'23</t>
  </si>
  <si>
    <t>Jul'23</t>
  </si>
  <si>
    <t>Aug'23</t>
  </si>
  <si>
    <t>Sep'23</t>
  </si>
  <si>
    <t>Oct'23</t>
  </si>
  <si>
    <t>Nov'23</t>
  </si>
  <si>
    <t>Dec'23</t>
  </si>
  <si>
    <t>Jan'24</t>
  </si>
  <si>
    <t>Feb'24</t>
  </si>
  <si>
    <t>Mar'24</t>
  </si>
  <si>
    <t xml:space="preserve">Plan </t>
  </si>
  <si>
    <t xml:space="preserve"> 19/11/2023</t>
  </si>
  <si>
    <t>Awaiting for AM</t>
  </si>
  <si>
    <r>
      <rPr>
        <b/>
        <strike/>
        <sz val="11"/>
        <color indexed="8"/>
        <rFont val="Calibri"/>
        <family val="2"/>
      </rPr>
      <t>*postpone AM to Feb'25 due to insufficent holder sparepart in Jan'25</t>
    </r>
    <r>
      <rPr>
        <b/>
        <sz val="11"/>
        <color indexed="8"/>
        <rFont val="Calibri"/>
        <family val="2"/>
      </rPr>
      <t xml:space="preserve">
proceed AM from 25/1</t>
    </r>
  </si>
  <si>
    <t>Actual</t>
  </si>
  <si>
    <t xml:space="preserve"> 23/10/2023</t>
  </si>
  <si>
    <t>Done - 20/10/2024</t>
  </si>
  <si>
    <t>DONE</t>
  </si>
  <si>
    <t>Done - 21/01/2024</t>
  </si>
  <si>
    <t>Done -19/02/2024</t>
  </si>
  <si>
    <t>Done - 21/09/2024</t>
  </si>
  <si>
    <t>Done -07/05/2024</t>
  </si>
  <si>
    <t>Done 21/08/2024</t>
  </si>
  <si>
    <t>Done -20/06/2024</t>
  </si>
  <si>
    <t>Done - 02/04/2024</t>
  </si>
  <si>
    <t>Done - 21/07/2024</t>
  </si>
  <si>
    <t>Done - 22/12/2024</t>
  </si>
  <si>
    <t>Done - 20/11/2024</t>
  </si>
  <si>
    <t>SO</t>
  </si>
  <si>
    <t>CETD</t>
  </si>
  <si>
    <t>(cs)</t>
  </si>
  <si>
    <t>('000 pcs)</t>
  </si>
  <si>
    <t>PM status</t>
  </si>
  <si>
    <t>FG code</t>
  </si>
  <si>
    <t>PMEC 38/25</t>
  </si>
  <si>
    <t>Purchased</t>
  </si>
  <si>
    <t>FG-PMEC-0023</t>
  </si>
  <si>
    <t>NB-AB-OLPF-032-SE-LSBU-ASTM</t>
  </si>
  <si>
    <t>PMEC 44/25</t>
  </si>
  <si>
    <t>FG-PMEC-0016</t>
  </si>
  <si>
    <t>PMEC 43/25</t>
  </si>
  <si>
    <t>PMEC 45/25</t>
  </si>
  <si>
    <t>FG-PMEC-0013</t>
  </si>
  <si>
    <t>PMEC 42/25</t>
  </si>
  <si>
    <t>PMEC 41/25</t>
  </si>
  <si>
    <t>KWNS 04/25</t>
  </si>
  <si>
    <t>FG-KWNS-0004</t>
  </si>
  <si>
    <t>Month of Production : July 2025</t>
  </si>
  <si>
    <t>Plan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</si>
  <si>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</si>
  <si>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</si>
  <si>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</si>
  <si>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</si>
  <si>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</si>
  <si>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</si>
  <si>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</si>
  <si>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</si>
  <si>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</si>
  <si>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</si>
  <si>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</si>
  <si>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July</t>
  </si>
  <si>
    <t>CPD-NB-LG01-MTBU-02 (WAX4)</t>
  </si>
  <si>
    <t>CPD-NB-KM01-VIOL-08 (4HSD, 0.261857B, WAX4)</t>
  </si>
  <si>
    <t>XS</t>
  </si>
  <si>
    <t>CPD-NB-KM01-MTBU-10 (4R086A, 1.0ZnO,ATO2, WAX4)</t>
  </si>
  <si>
    <t>MODIFICATION WORK - HIK &amp; CLEANING AREA</t>
  </si>
  <si>
    <t>CPD-NB-KM01-DKBU-27 (WAX4)</t>
  </si>
  <si>
    <t>NB-AB-OLPF-034-SE-WHTE-EN6N</t>
  </si>
  <si>
    <t>CPD-NB-LG01-WHTE-12 (4HSD,WAX4)</t>
  </si>
  <si>
    <t>CPD-NB-LG01-WHTE-11 (WAX4)</t>
  </si>
  <si>
    <t>CPD-NB-NT06-VBLU-25 (4ESD &gt;&gt; 4HSD, WAX4, 0.27VBLU)</t>
  </si>
  <si>
    <t>CPD-NB-LG01-VBLU-26 (4ESD &gt;&gt; 4HSD, WAX4, 0.27VBLU)</t>
  </si>
  <si>
    <t>Revision # : 0</t>
  </si>
  <si>
    <t xml:space="preserve">Production Plant : 6 </t>
  </si>
  <si>
    <t>XXL</t>
  </si>
  <si>
    <t>NB-AB-OLPF-034-SE-VBLU-BIOD</t>
  </si>
  <si>
    <t>MODIFICATION WORK - CLEANING &amp; APM INSTAL</t>
  </si>
  <si>
    <t>CPD-NB-NT01-VBLU-32 (4R086A,WAX4, 0.27VBLU)</t>
  </si>
  <si>
    <t>CPD-NB-NT06-WHTE-21 (4R086A, 2.0TIO2, SDBS, WAX4)</t>
  </si>
  <si>
    <t>CPD-NB-NT06-DAWN-05 (4HSD, WAX4)</t>
  </si>
  <si>
    <t>NB-AB-OLPF-030-SE-BLCK-ASTM</t>
  </si>
  <si>
    <t>CPD-NB-KM01-BLCK-27 (4R086A,WAX4)</t>
  </si>
  <si>
    <t>Goodpac+</t>
  </si>
  <si>
    <t>CPD-NB-NT06-VBLU-22 (4R086A,WAX4,VBL2)</t>
  </si>
  <si>
    <t>CPD-NB-KM01-VBLU-33 (4R086A,VBL2,WAX4)</t>
  </si>
  <si>
    <t>CPD-NB-NT06-DKBU-16 (4R086A,0.7TiO2,WAX4)</t>
  </si>
  <si>
    <t>CPD-NB-KM01-WHTE-17 (4R086A, 2.0TiO2, WAX4)</t>
  </si>
  <si>
    <t>CPD-NB-LG01-MTBU-02(WAX4)</t>
  </si>
  <si>
    <t>CPD-NB-NT06-VBLU-23 (4R086A,WAX4,VBL2)</t>
  </si>
  <si>
    <t>CPD-NB-KM01-VBLU-56 (4R086A,WAX4,0.27VBLU)</t>
  </si>
  <si>
    <t>CPD-NB-KM01-VBLU-54 (BIOD, 4R086A, HV 0.27VBLU, WAX4)</t>
  </si>
  <si>
    <t>CPD-NB-LG01-DCBU-02 (WAX4)</t>
  </si>
  <si>
    <t>Date : 27 June 2025</t>
  </si>
  <si>
    <t>Line Number</t>
  </si>
  <si>
    <t>Product Name</t>
  </si>
  <si>
    <t>New Order Test</t>
  </si>
  <si>
    <t>Size</t>
  </si>
  <si>
    <t>Quantity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</si>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</sst>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.00_);_(* \(#,##0.00\);_(* \-??_);_(@_)"/>
    <numFmt numFmtId="166" formatCode="#,##0.00;[Red]\ \ \-\ #,##0.00\ ;&quot;-&quot;"/>
  </numFmts>
  <fonts count="4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20"/>
      <name val="Arial"/>
      <family val="2"/>
    </font>
    <font>
      <sz val="11"/>
      <name val="Arial"/>
      <family val="2"/>
    </font>
    <font>
      <b/>
      <sz val="11"/>
      <name val="Book Antiqua"/>
      <family val="1"/>
    </font>
    <font>
      <sz val="11"/>
      <name val="Book Antiqua"/>
      <family val="1"/>
    </font>
    <font>
      <sz val="16"/>
      <name val="Book Antiqua"/>
      <family val="1"/>
    </font>
    <font>
      <sz val="16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Calibri"/>
      <family val="2"/>
    </font>
    <font>
      <b/>
      <strike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4.9989318521683403E-2"/>
      <name val="Book Antiqua"/>
      <family val="1"/>
    </font>
    <font>
      <sz val="11"/>
      <color theme="1" tint="4.9989318521683403E-2"/>
      <name val="Book Antiqua"/>
      <family val="1"/>
    </font>
    <font>
      <b/>
      <sz val="11"/>
      <color theme="1" tint="4.9989318521683403E-2"/>
      <name val="Book Antiqua"/>
      <family val="1"/>
    </font>
    <font>
      <sz val="10"/>
      <color theme="1" tint="4.9989318521683403E-2"/>
      <name val="Arial"/>
      <family val="2"/>
    </font>
    <font>
      <sz val="11"/>
      <color theme="1" tint="4.9989318521683403E-2"/>
      <name val="Arial"/>
      <family val="2"/>
    </font>
    <font>
      <sz val="16"/>
      <color theme="1" tint="4.9989318521683403E-2"/>
      <name val="Book Antiqua"/>
      <family val="1"/>
    </font>
    <font>
      <b/>
      <sz val="10"/>
      <color theme="1" tint="4.9989318521683403E-2"/>
      <name val="Arial"/>
      <family val="2"/>
    </font>
    <font>
      <sz val="8"/>
      <color theme="1" tint="4.9989318521683403E-2"/>
      <name val="Book Antiqua"/>
      <family val="1"/>
    </font>
    <font>
      <sz val="16"/>
      <color theme="1" tint="4.9989318521683403E-2"/>
      <name val="Arial"/>
      <family val="2"/>
    </font>
    <font>
      <sz val="12.5"/>
      <color rgb="FFFF0000"/>
      <name val="Book Antiqua"/>
      <family val="1"/>
    </font>
    <font>
      <sz val="11"/>
      <color rgb="FFFF00FF"/>
      <name val="Book Antiqua"/>
      <family val="1"/>
    </font>
    <font>
      <u/>
      <sz val="11"/>
      <color rgb="FFFF0000"/>
      <name val="Book Antiqua"/>
      <family val="1"/>
    </font>
    <font>
      <sz val="11"/>
      <color rgb="FFFF0000"/>
      <name val="Book Antiqua"/>
      <family val="1"/>
    </font>
    <font>
      <sz val="11"/>
      <color rgb="FFED7D31"/>
      <name val="Book Antiqua"/>
      <family val="1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sz val="11"/>
      <color rgb="FFCC00CC"/>
      <name val="Book Antiqua"/>
      <family val="1"/>
    </font>
    <font>
      <b/>
      <sz val="11"/>
      <color theme="0"/>
      <name val="Book Antiqua"/>
      <family val="1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A397"/>
        <bgColor indexed="64"/>
      </patternFill>
    </fill>
    <fill>
      <patternFill patternType="solid">
        <fgColor rgb="FFFFABCD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E4C9A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E1CCE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ABEB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64"/>
      </right>
      <top style="hair">
        <color indexed="8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auto="1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2">
    <xf numFmtId="0" fontId="0" fillId="0" borderId="0"/>
    <xf numFmtId="0" fontId="12" fillId="0" borderId="0"/>
    <xf numFmtId="43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/>
    <xf numFmtId="0" fontId="2" fillId="0" borderId="0"/>
    <xf numFmtId="0" fontId="15" fillId="0" borderId="0"/>
    <xf numFmtId="0" fontId="15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37" fillId="0" borderId="0"/>
  </cellStyleXfs>
  <cellXfs count="344">
    <xf numFmtId="0" fontId="0" fillId="0" borderId="0" xfId="0"/>
    <xf numFmtId="0" fontId="17" fillId="0" borderId="1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4" applyFont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0" fillId="0" borderId="8" xfId="0" applyBorder="1"/>
    <xf numFmtId="0" fontId="3" fillId="2" borderId="0" xfId="0" applyFont="1" applyFill="1"/>
    <xf numFmtId="0" fontId="0" fillId="0" borderId="4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8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49" xfId="0" applyBorder="1"/>
    <xf numFmtId="0" fontId="0" fillId="0" borderId="23" xfId="0" applyBorder="1"/>
    <xf numFmtId="0" fontId="0" fillId="3" borderId="0" xfId="0" applyFill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6" fillId="0" borderId="0" xfId="4" applyFont="1"/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4" borderId="7" xfId="4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4" fontId="6" fillId="5" borderId="7" xfId="0" applyNumberFormat="1" applyFont="1" applyFill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0" fontId="28" fillId="0" borderId="0" xfId="4" applyFont="1" applyAlignment="1">
      <alignment vertical="center"/>
    </xf>
    <xf numFmtId="0" fontId="26" fillId="0" borderId="0" xfId="0" applyFont="1" applyAlignment="1">
      <alignment vertical="center"/>
    </xf>
    <xf numFmtId="0" fontId="6" fillId="6" borderId="7" xfId="0" applyFont="1" applyFill="1" applyBorder="1" applyAlignment="1">
      <alignment horizontal="center" vertical="center"/>
    </xf>
    <xf numFmtId="14" fontId="6" fillId="6" borderId="7" xfId="4" quotePrefix="1" applyNumberFormat="1" applyFont="1" applyFill="1" applyBorder="1" applyAlignment="1">
      <alignment horizontal="center" vertical="center"/>
    </xf>
    <xf numFmtId="14" fontId="27" fillId="4" borderId="7" xfId="4" quotePrefix="1" applyNumberFormat="1" applyFont="1" applyFill="1" applyBorder="1" applyAlignment="1">
      <alignment horizontal="center" vertical="center"/>
    </xf>
    <xf numFmtId="14" fontId="27" fillId="4" borderId="9" xfId="4" quotePrefix="1" applyNumberFormat="1" applyFont="1" applyFill="1" applyBorder="1" applyAlignment="1">
      <alignment horizontal="center" vertical="center"/>
    </xf>
    <xf numFmtId="0" fontId="6" fillId="7" borderId="7" xfId="4" applyFont="1" applyFill="1" applyBorder="1" applyAlignment="1">
      <alignment horizontal="center" vertical="center"/>
    </xf>
    <xf numFmtId="14" fontId="27" fillId="7" borderId="7" xfId="4" applyNumberFormat="1" applyFont="1" applyFill="1" applyBorder="1" applyAlignment="1">
      <alignment horizontal="center" vertical="center"/>
    </xf>
    <xf numFmtId="0" fontId="10" fillId="0" borderId="0" xfId="0" applyFont="1"/>
    <xf numFmtId="0" fontId="6" fillId="8" borderId="7" xfId="0" applyFont="1" applyFill="1" applyBorder="1" applyAlignment="1">
      <alignment horizontal="center" vertical="center"/>
    </xf>
    <xf numFmtId="14" fontId="6" fillId="8" borderId="7" xfId="0" applyNumberFormat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4" fontId="6" fillId="9" borderId="7" xfId="4" applyNumberFormat="1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14" fontId="27" fillId="10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4" fontId="6" fillId="11" borderId="7" xfId="0" applyNumberFormat="1" applyFont="1" applyFill="1" applyBorder="1" applyAlignment="1">
      <alignment horizontal="center" vertical="center"/>
    </xf>
    <xf numFmtId="41" fontId="23" fillId="0" borderId="0" xfId="0" applyNumberFormat="1" applyFont="1" applyAlignment="1">
      <alignment vertical="center"/>
    </xf>
    <xf numFmtId="0" fontId="6" fillId="12" borderId="7" xfId="0" applyFont="1" applyFill="1" applyBorder="1" applyAlignment="1">
      <alignment horizontal="center" vertical="center"/>
    </xf>
    <xf numFmtId="14" fontId="6" fillId="12" borderId="7" xfId="0" applyNumberFormat="1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18" fillId="14" borderId="7" xfId="0" applyFont="1" applyFill="1" applyBorder="1" applyAlignment="1">
      <alignment horizontal="center" vertical="center"/>
    </xf>
    <xf numFmtId="14" fontId="18" fillId="14" borderId="7" xfId="0" applyNumberFormat="1" applyFont="1" applyFill="1" applyBorder="1" applyAlignment="1">
      <alignment horizontal="center" vertical="center"/>
    </xf>
    <xf numFmtId="0" fontId="6" fillId="15" borderId="7" xfId="4" applyFont="1" applyFill="1" applyBorder="1" applyAlignment="1">
      <alignment horizontal="center" vertical="center"/>
    </xf>
    <xf numFmtId="0" fontId="27" fillId="15" borderId="7" xfId="4" applyFont="1" applyFill="1" applyBorder="1" applyAlignment="1">
      <alignment horizontal="center" vertical="center"/>
    </xf>
    <xf numFmtId="14" fontId="27" fillId="15" borderId="7" xfId="4" quotePrefix="1" applyNumberFormat="1" applyFont="1" applyFill="1" applyBorder="1" applyAlignment="1">
      <alignment horizontal="center" vertical="center"/>
    </xf>
    <xf numFmtId="14" fontId="27" fillId="15" borderId="9" xfId="4" quotePrefix="1" applyNumberFormat="1" applyFont="1" applyFill="1" applyBorder="1" applyAlignment="1">
      <alignment horizontal="center" vertical="center"/>
    </xf>
    <xf numFmtId="0" fontId="27" fillId="16" borderId="7" xfId="4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14" fontId="6" fillId="16" borderId="7" xfId="0" applyNumberFormat="1" applyFont="1" applyFill="1" applyBorder="1" applyAlignment="1">
      <alignment horizontal="center" vertical="center"/>
    </xf>
    <xf numFmtId="0" fontId="6" fillId="17" borderId="7" xfId="4" applyFont="1" applyFill="1" applyBorder="1" applyAlignment="1">
      <alignment horizontal="center" vertical="center"/>
    </xf>
    <xf numFmtId="14" fontId="18" fillId="17" borderId="9" xfId="4" quotePrefix="1" applyNumberFormat="1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/>
    </xf>
    <xf numFmtId="14" fontId="18" fillId="18" borderId="7" xfId="4" quotePrefix="1" applyNumberFormat="1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14" fontId="6" fillId="19" borderId="7" xfId="0" applyNumberFormat="1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/>
    </xf>
    <xf numFmtId="14" fontId="6" fillId="20" borderId="7" xfId="0" applyNumberFormat="1" applyFont="1" applyFill="1" applyBorder="1" applyAlignment="1">
      <alignment horizontal="center" vertical="center"/>
    </xf>
    <xf numFmtId="0" fontId="6" fillId="21" borderId="7" xfId="0" applyFont="1" applyFill="1" applyBorder="1" applyAlignment="1">
      <alignment horizontal="center" vertical="center"/>
    </xf>
    <xf numFmtId="14" fontId="6" fillId="21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7" fillId="22" borderId="7" xfId="4" applyFont="1" applyFill="1" applyBorder="1" applyAlignment="1">
      <alignment horizontal="center" vertical="center"/>
    </xf>
    <xf numFmtId="0" fontId="6" fillId="22" borderId="7" xfId="0" applyFont="1" applyFill="1" applyBorder="1" applyAlignment="1">
      <alignment horizontal="center" vertical="center"/>
    </xf>
    <xf numFmtId="14" fontId="6" fillId="22" borderId="7" xfId="0" applyNumberFormat="1" applyFont="1" applyFill="1" applyBorder="1" applyAlignment="1">
      <alignment horizontal="center" vertical="center"/>
    </xf>
    <xf numFmtId="0" fontId="6" fillId="23" borderId="9" xfId="0" applyFont="1" applyFill="1" applyBorder="1" applyAlignment="1">
      <alignment horizontal="center" vertical="center"/>
    </xf>
    <xf numFmtId="0" fontId="6" fillId="23" borderId="7" xfId="0" applyFont="1" applyFill="1" applyBorder="1" applyAlignment="1">
      <alignment horizontal="center" vertical="center"/>
    </xf>
    <xf numFmtId="14" fontId="6" fillId="23" borderId="7" xfId="0" applyNumberFormat="1" applyFont="1" applyFill="1" applyBorder="1" applyAlignment="1">
      <alignment horizontal="center" vertical="center"/>
    </xf>
    <xf numFmtId="0" fontId="6" fillId="24" borderId="7" xfId="0" applyFont="1" applyFill="1" applyBorder="1" applyAlignment="1">
      <alignment horizontal="center"/>
    </xf>
    <xf numFmtId="0" fontId="6" fillId="24" borderId="7" xfId="0" applyFont="1" applyFill="1" applyBorder="1" applyAlignment="1">
      <alignment horizontal="center" vertical="center"/>
    </xf>
    <xf numFmtId="14" fontId="6" fillId="24" borderId="7" xfId="0" applyNumberFormat="1" applyFont="1" applyFill="1" applyBorder="1" applyAlignment="1">
      <alignment horizontal="center" vertical="center"/>
    </xf>
    <xf numFmtId="0" fontId="6" fillId="25" borderId="7" xfId="0" applyFont="1" applyFill="1" applyBorder="1" applyAlignment="1">
      <alignment horizontal="center" vertical="center"/>
    </xf>
    <xf numFmtId="14" fontId="6" fillId="25" borderId="7" xfId="0" applyNumberFormat="1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horizontal="center" vertical="center"/>
    </xf>
    <xf numFmtId="14" fontId="6" fillId="26" borderId="7" xfId="0" applyNumberFormat="1" applyFont="1" applyFill="1" applyBorder="1" applyAlignment="1">
      <alignment horizontal="center" vertical="center"/>
    </xf>
    <xf numFmtId="0" fontId="6" fillId="27" borderId="7" xfId="0" applyFont="1" applyFill="1" applyBorder="1" applyAlignment="1">
      <alignment horizontal="center" vertical="center"/>
    </xf>
    <xf numFmtId="14" fontId="6" fillId="27" borderId="7" xfId="0" applyNumberFormat="1" applyFont="1" applyFill="1" applyBorder="1" applyAlignment="1">
      <alignment horizontal="center" vertical="center"/>
    </xf>
    <xf numFmtId="0" fontId="6" fillId="28" borderId="7" xfId="0" applyFont="1" applyFill="1" applyBorder="1" applyAlignment="1">
      <alignment horizontal="center"/>
    </xf>
    <xf numFmtId="0" fontId="6" fillId="28" borderId="7" xfId="0" applyFont="1" applyFill="1" applyBorder="1" applyAlignment="1">
      <alignment horizontal="center" vertical="center"/>
    </xf>
    <xf numFmtId="14" fontId="6" fillId="28" borderId="7" xfId="0" applyNumberFormat="1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/>
    </xf>
    <xf numFmtId="0" fontId="6" fillId="29" borderId="7" xfId="0" applyFont="1" applyFill="1" applyBorder="1" applyAlignment="1">
      <alignment horizontal="center" vertical="center"/>
    </xf>
    <xf numFmtId="14" fontId="6" fillId="29" borderId="7" xfId="0" applyNumberFormat="1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/>
    </xf>
    <xf numFmtId="0" fontId="4" fillId="30" borderId="0" xfId="0" applyFont="1" applyFill="1" applyAlignment="1">
      <alignment horizontal="center"/>
    </xf>
    <xf numFmtId="0" fontId="0" fillId="0" borderId="50" xfId="0" pivotButton="1" applyBorder="1"/>
    <xf numFmtId="0" fontId="0" fillId="0" borderId="51" xfId="0" applyBorder="1"/>
    <xf numFmtId="0" fontId="0" fillId="0" borderId="52" xfId="0" applyBorder="1"/>
    <xf numFmtId="0" fontId="0" fillId="0" borderId="50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14" fontId="0" fillId="0" borderId="55" xfId="0" applyNumberFormat="1" applyBorder="1"/>
    <xf numFmtId="14" fontId="0" fillId="0" borderId="50" xfId="0" applyNumberFormat="1" applyBorder="1"/>
    <xf numFmtId="14" fontId="6" fillId="31" borderId="7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32" borderId="7" xfId="0" applyFont="1" applyFill="1" applyBorder="1" applyAlignment="1">
      <alignment horizontal="center" vertical="center"/>
    </xf>
    <xf numFmtId="14" fontId="6" fillId="32" borderId="7" xfId="0" applyNumberFormat="1" applyFont="1" applyFill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6" fillId="21" borderId="28" xfId="0" applyFont="1" applyFill="1" applyBorder="1" applyAlignment="1">
      <alignment horizontal="center" vertical="center"/>
    </xf>
    <xf numFmtId="0" fontId="6" fillId="29" borderId="33" xfId="0" applyFont="1" applyFill="1" applyBorder="1" applyAlignment="1">
      <alignment horizontal="center"/>
    </xf>
    <xf numFmtId="0" fontId="6" fillId="29" borderId="34" xfId="0" applyFont="1" applyFill="1" applyBorder="1" applyAlignment="1">
      <alignment horizontal="center" vertical="center"/>
    </xf>
    <xf numFmtId="0" fontId="6" fillId="29" borderId="35" xfId="0" applyFont="1" applyFill="1" applyBorder="1" applyAlignment="1">
      <alignment horizontal="center" vertical="center"/>
    </xf>
    <xf numFmtId="0" fontId="6" fillId="30" borderId="30" xfId="0" applyFont="1" applyFill="1" applyBorder="1"/>
    <xf numFmtId="0" fontId="6" fillId="30" borderId="36" xfId="0" applyFont="1" applyFill="1" applyBorder="1" applyAlignment="1">
      <alignment horizontal="center"/>
    </xf>
    <xf numFmtId="0" fontId="6" fillId="30" borderId="37" xfId="0" applyFont="1" applyFill="1" applyBorder="1" applyAlignment="1">
      <alignment horizontal="center"/>
    </xf>
    <xf numFmtId="0" fontId="6" fillId="31" borderId="38" xfId="0" applyFont="1" applyFill="1" applyBorder="1" applyAlignment="1">
      <alignment horizontal="center"/>
    </xf>
    <xf numFmtId="0" fontId="6" fillId="31" borderId="39" xfId="0" applyFont="1" applyFill="1" applyBorder="1" applyAlignment="1">
      <alignment horizontal="center" vertical="center"/>
    </xf>
    <xf numFmtId="0" fontId="6" fillId="31" borderId="40" xfId="0" applyFont="1" applyFill="1" applyBorder="1" applyAlignment="1">
      <alignment horizontal="center" vertical="center"/>
    </xf>
    <xf numFmtId="0" fontId="6" fillId="31" borderId="41" xfId="0" applyFont="1" applyFill="1" applyBorder="1" applyAlignment="1">
      <alignment horizontal="center" vertical="center"/>
    </xf>
    <xf numFmtId="0" fontId="6" fillId="31" borderId="27" xfId="0" applyFont="1" applyFill="1" applyBorder="1" applyAlignment="1">
      <alignment horizontal="center" vertical="center"/>
    </xf>
    <xf numFmtId="0" fontId="27" fillId="32" borderId="38" xfId="4" applyFont="1" applyFill="1" applyBorder="1" applyAlignment="1">
      <alignment horizontal="center" vertical="center"/>
    </xf>
    <xf numFmtId="0" fontId="6" fillId="32" borderId="42" xfId="0" applyFont="1" applyFill="1" applyBorder="1" applyAlignment="1">
      <alignment horizontal="center" vertical="center"/>
    </xf>
    <xf numFmtId="0" fontId="6" fillId="32" borderId="29" xfId="0" applyFont="1" applyFill="1" applyBorder="1" applyAlignment="1">
      <alignment horizontal="center" vertical="center"/>
    </xf>
    <xf numFmtId="0" fontId="6" fillId="33" borderId="29" xfId="4" applyFont="1" applyFill="1" applyBorder="1" applyAlignment="1">
      <alignment horizontal="center" vertical="center"/>
    </xf>
    <xf numFmtId="0" fontId="6" fillId="33" borderId="7" xfId="0" applyFont="1" applyFill="1" applyBorder="1" applyAlignment="1">
      <alignment horizontal="center" vertical="center"/>
    </xf>
    <xf numFmtId="14" fontId="6" fillId="33" borderId="7" xfId="0" applyNumberFormat="1" applyFont="1" applyFill="1" applyBorder="1" applyAlignment="1">
      <alignment horizontal="center" vertical="center"/>
    </xf>
    <xf numFmtId="0" fontId="6" fillId="34" borderId="7" xfId="4" applyFont="1" applyFill="1" applyBorder="1" applyAlignment="1">
      <alignment horizontal="center" vertical="center"/>
    </xf>
    <xf numFmtId="14" fontId="27" fillId="34" borderId="7" xfId="4" applyNumberFormat="1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36" borderId="7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37" borderId="7" xfId="0" applyFont="1" applyFill="1" applyBorder="1" applyAlignment="1">
      <alignment horizontal="center" vertical="center"/>
    </xf>
    <xf numFmtId="0" fontId="6" fillId="38" borderId="43" xfId="0" applyFont="1" applyFill="1" applyBorder="1"/>
    <xf numFmtId="0" fontId="6" fillId="38" borderId="0" xfId="0" applyFont="1" applyFill="1" applyAlignment="1">
      <alignment horizontal="center"/>
    </xf>
    <xf numFmtId="0" fontId="4" fillId="38" borderId="0" xfId="0" applyFont="1" applyFill="1" applyAlignment="1">
      <alignment horizontal="center"/>
    </xf>
    <xf numFmtId="0" fontId="6" fillId="39" borderId="7" xfId="0" applyFont="1" applyFill="1" applyBorder="1" applyAlignment="1">
      <alignment horizontal="center"/>
    </xf>
    <xf numFmtId="0" fontId="16" fillId="45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9" borderId="8" xfId="0" applyFill="1" applyBorder="1" applyAlignment="1">
      <alignment horizontal="center" vertical="center"/>
    </xf>
    <xf numFmtId="0" fontId="11" fillId="0" borderId="0" xfId="0" applyFont="1"/>
    <xf numFmtId="16" fontId="0" fillId="0" borderId="0" xfId="0" applyNumberFormat="1"/>
    <xf numFmtId="0" fontId="0" fillId="40" borderId="0" xfId="0" applyFill="1"/>
    <xf numFmtId="0" fontId="0" fillId="40" borderId="0" xfId="0" quotePrefix="1" applyFill="1"/>
    <xf numFmtId="0" fontId="0" fillId="46" borderId="8" xfId="0" applyFill="1" applyBorder="1" applyAlignment="1">
      <alignment horizontal="center" vertical="center"/>
    </xf>
    <xf numFmtId="0" fontId="16" fillId="47" borderId="8" xfId="0" applyFont="1" applyFill="1" applyBorder="1" applyAlignment="1">
      <alignment horizontal="center" vertical="center"/>
    </xf>
    <xf numFmtId="0" fontId="16" fillId="48" borderId="8" xfId="0" applyFont="1" applyFill="1" applyBorder="1" applyAlignment="1">
      <alignment horizontal="center" vertical="center"/>
    </xf>
    <xf numFmtId="0" fontId="16" fillId="49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31" fillId="50" borderId="8" xfId="0" applyFont="1" applyFill="1" applyBorder="1" applyAlignment="1">
      <alignment horizontal="center" vertical="center"/>
    </xf>
    <xf numFmtId="0" fontId="35" fillId="50" borderId="8" xfId="0" applyFont="1" applyFill="1" applyBorder="1" applyAlignment="1">
      <alignment horizontal="center" vertical="center"/>
    </xf>
    <xf numFmtId="0" fontId="16" fillId="50" borderId="8" xfId="0" applyFont="1" applyFill="1" applyBorder="1" applyAlignment="1">
      <alignment horizontal="center" vertical="center"/>
    </xf>
    <xf numFmtId="0" fontId="0" fillId="0" borderId="46" xfId="0" applyBorder="1"/>
    <xf numFmtId="0" fontId="31" fillId="49" borderId="8" xfId="0" applyFont="1" applyFill="1" applyBorder="1" applyAlignment="1">
      <alignment horizontal="center" vertical="center"/>
    </xf>
    <xf numFmtId="0" fontId="0" fillId="50" borderId="8" xfId="0" applyFill="1" applyBorder="1" applyAlignment="1">
      <alignment horizontal="center" vertical="center"/>
    </xf>
    <xf numFmtId="3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1" fillId="0" borderId="8" xfId="0" applyFont="1" applyBorder="1" applyAlignment="1">
      <alignment horizontal="center" vertical="center"/>
    </xf>
    <xf numFmtId="164" fontId="36" fillId="0" borderId="8" xfId="2" applyNumberFormat="1" applyFont="1" applyBorder="1"/>
    <xf numFmtId="16" fontId="0" fillId="0" borderId="8" xfId="0" applyNumberFormat="1" applyBorder="1"/>
    <xf numFmtId="164" fontId="0" fillId="0" borderId="8" xfId="0" applyNumberFormat="1" applyBorder="1"/>
    <xf numFmtId="166" fontId="0" fillId="0" borderId="8" xfId="0" applyNumberFormat="1" applyBorder="1" applyAlignment="1">
      <alignment horizontal="center"/>
    </xf>
    <xf numFmtId="164" fontId="0" fillId="0" borderId="8" xfId="2" applyNumberFormat="1" applyFont="1" applyBorder="1"/>
    <xf numFmtId="164" fontId="1" fillId="0" borderId="8" xfId="2" applyNumberFormat="1" applyFont="1" applyBorder="1"/>
    <xf numFmtId="164" fontId="31" fillId="0" borderId="8" xfId="2" applyNumberFormat="1" applyFont="1" applyBorder="1"/>
    <xf numFmtId="0" fontId="0" fillId="0" borderId="0" xfId="0" applyAlignment="1">
      <alignment vertical="center" wrapText="1"/>
    </xf>
    <xf numFmtId="164" fontId="31" fillId="0" borderId="8" xfId="2" applyNumberFormat="1" applyFont="1" applyFill="1" applyBorder="1"/>
    <xf numFmtId="0" fontId="11" fillId="0" borderId="8" xfId="0" applyFont="1" applyBorder="1"/>
    <xf numFmtId="16" fontId="0" fillId="44" borderId="8" xfId="0" applyNumberFormat="1" applyFill="1" applyBorder="1"/>
    <xf numFmtId="0" fontId="0" fillId="0" borderId="7" xfId="0" applyBorder="1" applyAlignment="1">
      <alignment vertical="center"/>
    </xf>
    <xf numFmtId="0" fontId="4" fillId="0" borderId="0" xfId="0" applyFont="1" applyAlignment="1">
      <alignment vertical="center"/>
    </xf>
    <xf numFmtId="0" fontId="41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43" fontId="6" fillId="0" borderId="61" xfId="8" applyFont="1" applyFill="1" applyBorder="1" applyAlignment="1">
      <alignment vertical="center"/>
    </xf>
    <xf numFmtId="0" fontId="6" fillId="0" borderId="7" xfId="5" applyFont="1" applyBorder="1" applyAlignment="1">
      <alignment vertical="center"/>
    </xf>
    <xf numFmtId="0" fontId="6" fillId="0" borderId="61" xfId="5" applyFont="1" applyBorder="1" applyAlignment="1">
      <alignment vertical="center"/>
    </xf>
    <xf numFmtId="0" fontId="6" fillId="0" borderId="7" xfId="5" applyFont="1" applyBorder="1"/>
    <xf numFmtId="0" fontId="30" fillId="0" borderId="7" xfId="5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40" fillId="0" borderId="7" xfId="5" applyFont="1" applyBorder="1" applyAlignment="1">
      <alignment vertical="center"/>
    </xf>
    <xf numFmtId="0" fontId="6" fillId="0" borderId="27" xfId="0" applyFont="1" applyBorder="1"/>
    <xf numFmtId="0" fontId="6" fillId="0" borderId="62" xfId="5" applyFont="1" applyBorder="1"/>
    <xf numFmtId="0" fontId="6" fillId="0" borderId="27" xfId="0" applyFont="1" applyBorder="1" applyAlignment="1">
      <alignment vertical="center"/>
    </xf>
    <xf numFmtId="0" fontId="29" fillId="0" borderId="27" xfId="0" applyFont="1" applyBorder="1" applyAlignment="1">
      <alignment vertical="center"/>
    </xf>
    <xf numFmtId="14" fontId="20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vertical="center"/>
    </xf>
    <xf numFmtId="14" fontId="19" fillId="0" borderId="0" xfId="0" applyNumberFormat="1" applyFont="1" applyAlignment="1">
      <alignment horizontal="left" vertical="center"/>
    </xf>
    <xf numFmtId="14" fontId="18" fillId="0" borderId="0" xfId="0" applyNumberFormat="1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14" fontId="19" fillId="0" borderId="27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7" xfId="4" applyFont="1" applyBorder="1" applyAlignment="1">
      <alignment horizontal="center" vertical="center"/>
    </xf>
    <xf numFmtId="14" fontId="27" fillId="0" borderId="7" xfId="4" quotePrefix="1" applyNumberFormat="1" applyFont="1" applyBorder="1" applyAlignment="1">
      <alignment horizontal="center" vertical="center"/>
    </xf>
    <xf numFmtId="0" fontId="27" fillId="0" borderId="38" xfId="4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7" xfId="4" applyFont="1" applyBorder="1" applyAlignment="1">
      <alignment horizontal="center" vertical="center"/>
    </xf>
    <xf numFmtId="14" fontId="6" fillId="0" borderId="9" xfId="4" quotePrefix="1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4" fontId="27" fillId="0" borderId="7" xfId="0" applyNumberFormat="1" applyFont="1" applyBorder="1" applyAlignment="1">
      <alignment horizontal="center" vertical="center"/>
    </xf>
    <xf numFmtId="14" fontId="27" fillId="0" borderId="9" xfId="0" applyNumberFormat="1" applyFont="1" applyBorder="1" applyAlignment="1">
      <alignment horizontal="center" vertical="center"/>
    </xf>
    <xf numFmtId="14" fontId="18" fillId="0" borderId="7" xfId="0" applyNumberFormat="1" applyFont="1" applyBorder="1" applyAlignment="1">
      <alignment horizontal="center" vertical="center"/>
    </xf>
    <xf numFmtId="14" fontId="18" fillId="0" borderId="9" xfId="0" applyNumberFormat="1" applyFont="1" applyBorder="1" applyAlignment="1">
      <alignment horizontal="center" vertical="center"/>
    </xf>
    <xf numFmtId="14" fontId="6" fillId="0" borderId="7" xfId="4" quotePrefix="1" applyNumberFormat="1" applyFont="1" applyBorder="1" applyAlignment="1">
      <alignment horizontal="center" vertical="center"/>
    </xf>
    <xf numFmtId="0" fontId="6" fillId="0" borderId="38" xfId="4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14" fontId="6" fillId="0" borderId="7" xfId="4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14" fontId="6" fillId="0" borderId="9" xfId="4" applyNumberFormat="1" applyFont="1" applyBorder="1" applyAlignment="1">
      <alignment horizontal="center" vertical="center"/>
    </xf>
    <xf numFmtId="14" fontId="27" fillId="0" borderId="7" xfId="4" applyNumberFormat="1" applyFont="1" applyBorder="1" applyAlignment="1">
      <alignment horizontal="center" vertical="center"/>
    </xf>
    <xf numFmtId="14" fontId="27" fillId="0" borderId="9" xfId="4" applyNumberFormat="1" applyFont="1" applyBorder="1" applyAlignment="1">
      <alignment horizontal="center" vertical="center"/>
    </xf>
    <xf numFmtId="14" fontId="27" fillId="0" borderId="9" xfId="4" quotePrefix="1" applyNumberFormat="1" applyFont="1" applyBorder="1" applyAlignment="1">
      <alignment horizontal="center" vertical="center"/>
    </xf>
    <xf numFmtId="0" fontId="27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horizontal="center" vertical="center"/>
    </xf>
    <xf numFmtId="14" fontId="6" fillId="0" borderId="9" xfId="5" quotePrefix="1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14" fontId="27" fillId="0" borderId="0" xfId="0" applyNumberFormat="1" applyFont="1" applyAlignment="1">
      <alignment horizontal="center" vertical="center"/>
    </xf>
    <xf numFmtId="0" fontId="27" fillId="0" borderId="29" xfId="4" applyFont="1" applyBorder="1" applyAlignment="1">
      <alignment horizontal="center" vertical="center"/>
    </xf>
    <xf numFmtId="0" fontId="6" fillId="0" borderId="29" xfId="4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4" fontId="6" fillId="0" borderId="37" xfId="0" applyNumberFormat="1" applyFont="1" applyBorder="1" applyAlignment="1">
      <alignment horizontal="center" vertical="center"/>
    </xf>
    <xf numFmtId="0" fontId="42" fillId="0" borderId="29" xfId="4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14" fontId="27" fillId="0" borderId="37" xfId="0" applyNumberFormat="1" applyFont="1" applyBorder="1" applyAlignment="1">
      <alignment horizontal="center" vertical="center"/>
    </xf>
    <xf numFmtId="14" fontId="40" fillId="0" borderId="7" xfId="4" quotePrefix="1" applyNumberFormat="1" applyFont="1" applyBorder="1" applyAlignment="1">
      <alignment horizontal="center" vertical="center"/>
    </xf>
    <xf numFmtId="0" fontId="40" fillId="0" borderId="7" xfId="4" applyFont="1" applyBorder="1" applyAlignment="1">
      <alignment horizontal="center" vertical="center"/>
    </xf>
    <xf numFmtId="14" fontId="6" fillId="0" borderId="7" xfId="5" applyNumberFormat="1" applyFont="1" applyBorder="1" applyAlignment="1">
      <alignment horizontal="center" vertical="center"/>
    </xf>
    <xf numFmtId="14" fontId="27" fillId="0" borderId="7" xfId="5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/>
    </xf>
    <xf numFmtId="0" fontId="18" fillId="0" borderId="0" xfId="4" applyFont="1" applyAlignment="1">
      <alignment vertical="center"/>
    </xf>
    <xf numFmtId="14" fontId="18" fillId="0" borderId="0" xfId="4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6" fillId="0" borderId="8" xfId="4" quotePrefix="1" applyNumberFormat="1" applyFont="1" applyBorder="1" applyAlignment="1">
      <alignment horizontal="center" vertical="center"/>
    </xf>
    <xf numFmtId="0" fontId="6" fillId="0" borderId="8" xfId="4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14" fontId="6" fillId="0" borderId="8" xfId="5" quotePrefix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4" fontId="19" fillId="0" borderId="9" xfId="0" applyNumberFormat="1" applyFont="1" applyBorder="1" applyAlignment="1">
      <alignment horizontal="center" vertical="center"/>
    </xf>
    <xf numFmtId="14" fontId="19" fillId="0" borderId="27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16" fillId="45" borderId="8" xfId="0" applyFont="1" applyFill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0" fillId="40" borderId="44" xfId="0" applyFill="1" applyBorder="1" applyAlignment="1">
      <alignment horizontal="center" vertical="center"/>
    </xf>
    <xf numFmtId="0" fontId="0" fillId="40" borderId="45" xfId="0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6" fillId="41" borderId="8" xfId="0" applyFont="1" applyFill="1" applyBorder="1" applyAlignment="1">
      <alignment horizontal="center"/>
    </xf>
    <xf numFmtId="0" fontId="16" fillId="42" borderId="8" xfId="0" applyFont="1" applyFill="1" applyBorder="1" applyAlignment="1">
      <alignment horizontal="center" vertical="center"/>
    </xf>
    <xf numFmtId="0" fontId="16" fillId="42" borderId="44" xfId="0" applyFont="1" applyFill="1" applyBorder="1" applyAlignment="1">
      <alignment horizontal="center" vertical="center"/>
    </xf>
    <xf numFmtId="0" fontId="16" fillId="42" borderId="45" xfId="0" applyFont="1" applyFill="1" applyBorder="1" applyAlignment="1">
      <alignment horizontal="center" vertical="center"/>
    </xf>
    <xf numFmtId="0" fontId="16" fillId="15" borderId="8" xfId="0" applyFont="1" applyFill="1" applyBorder="1" applyAlignment="1">
      <alignment horizontal="center" vertical="center"/>
    </xf>
    <xf numFmtId="0" fontId="16" fillId="4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0" fillId="40" borderId="8" xfId="0" applyFill="1" applyBorder="1" applyAlignment="1">
      <alignment horizontal="center" vertical="center"/>
    </xf>
    <xf numFmtId="14" fontId="0" fillId="49" borderId="8" xfId="0" applyNumberFormat="1" applyFill="1" applyBorder="1" applyAlignment="1">
      <alignment horizontal="center" vertical="center"/>
    </xf>
    <xf numFmtId="0" fontId="0" fillId="49" borderId="8" xfId="0" applyFill="1" applyBorder="1" applyAlignment="1">
      <alignment horizontal="center" vertical="center"/>
    </xf>
    <xf numFmtId="0" fontId="33" fillId="0" borderId="44" xfId="0" applyFont="1" applyBorder="1" applyAlignment="1">
      <alignment horizontal="left" vertical="center" wrapText="1"/>
    </xf>
    <xf numFmtId="0" fontId="33" fillId="0" borderId="45" xfId="0" applyFont="1" applyBorder="1" applyAlignment="1">
      <alignment horizontal="left" vertical="center" wrapText="1"/>
    </xf>
    <xf numFmtId="14" fontId="0" fillId="2" borderId="44" xfId="0" applyNumberFormat="1" applyFill="1" applyBorder="1" applyAlignment="1">
      <alignment horizontal="center" vertical="center"/>
    </xf>
    <xf numFmtId="14" fontId="0" fillId="2" borderId="45" xfId="0" applyNumberFormat="1" applyFill="1" applyBorder="1" applyAlignment="1">
      <alignment horizontal="center" vertical="center"/>
    </xf>
    <xf numFmtId="15" fontId="34" fillId="0" borderId="44" xfId="0" applyNumberFormat="1" applyFont="1" applyBorder="1" applyAlignment="1">
      <alignment horizontal="left" vertical="center"/>
    </xf>
    <xf numFmtId="15" fontId="34" fillId="0" borderId="45" xfId="0" applyNumberFormat="1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16" fontId="11" fillId="0" borderId="44" xfId="0" applyNumberFormat="1" applyFont="1" applyBorder="1" applyAlignment="1">
      <alignment horizontal="center" vertical="center" wrapText="1"/>
    </xf>
    <xf numFmtId="16" fontId="11" fillId="0" borderId="45" xfId="0" applyNumberFormat="1" applyFont="1" applyBorder="1" applyAlignment="1">
      <alignment horizontal="center" vertical="center" wrapText="1"/>
    </xf>
    <xf numFmtId="0" fontId="16" fillId="15" borderId="44" xfId="0" applyFont="1" applyFill="1" applyBorder="1" applyAlignment="1">
      <alignment horizontal="center" vertical="center"/>
    </xf>
    <xf numFmtId="0" fontId="16" fillId="15" borderId="45" xfId="0" applyFont="1" applyFill="1" applyBorder="1" applyAlignment="1">
      <alignment horizontal="center" vertical="center"/>
    </xf>
    <xf numFmtId="0" fontId="16" fillId="44" borderId="44" xfId="0" applyFont="1" applyFill="1" applyBorder="1" applyAlignment="1">
      <alignment horizontal="center" vertical="center"/>
    </xf>
    <xf numFmtId="0" fontId="16" fillId="44" borderId="45" xfId="0" applyFont="1" applyFill="1" applyBorder="1" applyAlignment="1">
      <alignment horizontal="center" vertical="center"/>
    </xf>
    <xf numFmtId="15" fontId="32" fillId="0" borderId="44" xfId="0" applyNumberFormat="1" applyFont="1" applyBorder="1" applyAlignment="1">
      <alignment horizontal="left" vertical="center" wrapText="1"/>
    </xf>
    <xf numFmtId="15" fontId="32" fillId="0" borderId="45" xfId="0" applyNumberFormat="1" applyFont="1" applyBorder="1" applyAlignment="1">
      <alignment horizontal="left" vertical="center" wrapText="1"/>
    </xf>
  </cellXfs>
  <cellStyles count="12">
    <cellStyle name="20% - Accent1 87" xfId="1" xr:uid="{42A88D96-ACEE-4CF7-A830-B0D43CB1DDF3}"/>
    <cellStyle name="Comma" xfId="8" builtinId="3"/>
    <cellStyle name="Comma 2" xfId="2" xr:uid="{BF86A8D5-D339-4600-847D-1D00C8C8C067}"/>
    <cellStyle name="Comma 2 2" xfId="3" xr:uid="{788B00A9-38B6-457A-9FD5-0FC6C2A1DD64}"/>
    <cellStyle name="Excel Built-in Normal 1 2" xfId="11" xr:uid="{73F09FB5-AA50-4D20-9F18-1422A8377A67}"/>
    <cellStyle name="Normal" xfId="0" builtinId="0"/>
    <cellStyle name="Normal 2" xfId="4" xr:uid="{42197FB2-5DB1-4610-B299-675470251CEA}"/>
    <cellStyle name="Normal 2 2" xfId="5" xr:uid="{E6C2EEE3-2A4C-4896-B788-321487A185E9}"/>
    <cellStyle name="Normal 3" xfId="6" xr:uid="{F26F226E-9E09-47E4-9EF9-333F0909E142}"/>
    <cellStyle name="Normal 3 2" xfId="9" xr:uid="{0E80D9A1-E725-4B7A-8E1A-054477C72572}"/>
    <cellStyle name="Normal 4" xfId="7" xr:uid="{928C6154-1103-48D7-8525-C4445574FA0C}"/>
    <cellStyle name="Normal 4 2" xfId="10" xr:uid="{3CA35098-95E2-4A4A-8E0B-7A1734243F02}"/>
  </cellStyles>
  <dxfs count="50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FF000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ul Aziani Binti Syaari" refreshedDate="45559.358673263887" createdVersion="1" refreshedVersion="4" recordCount="64" upgradeOnRefresh="1" xr:uid="{049CE4D3-F5F1-4CE2-A8C1-32A7918782DA}">
  <cacheSource type="worksheet">
    <worksheetSource ref="A76:I100" sheet="Prod Planning Plant 5 &amp; 6(D365)"/>
  </cacheSource>
  <cacheFields count="11">
    <cacheField name="NGC Line #" numFmtId="0">
      <sharedItems containsString="0" containsBlank="1" containsNumber="1" containsInteger="1" minValue="61" maxValue="72"/>
    </cacheField>
    <cacheField name="Glove Code" numFmtId="0">
      <sharedItems containsBlank="1"/>
    </cacheField>
    <cacheField name="LB" numFmtId="0">
      <sharedItems containsBlank="1"/>
    </cacheField>
    <cacheField name="LT" numFmtId="0">
      <sharedItems containsBlank="1"/>
    </cacheField>
    <cacheField name="RB" numFmtId="0">
      <sharedItems containsBlank="1"/>
    </cacheField>
    <cacheField name="RT" numFmtId="0">
      <sharedItems containsBlank="1"/>
    </cacheField>
    <cacheField name="Start Date" numFmtId="0">
      <sharedItems containsNonDate="0" containsDate="1" containsString="0" containsBlank="1" minDate="2024-10-01T00:00:00" maxDate="2024-11-01T00:00:00" count="25">
        <d v="2024-10-01T00:00:00"/>
        <d v="2024-10-18T00:00:00"/>
        <m/>
        <d v="2024-10-21T00:00:00"/>
        <d v="2024-10-09T00:00:00"/>
        <d v="2024-10-19T00:00:00"/>
        <d v="2024-10-23T00:00:00"/>
        <d v="2024-10-13T00:00:00"/>
        <d v="2024-10-25T00:00:00"/>
        <d v="2024-10-16T00:00:00"/>
        <d v="2024-10-27T00:00:00"/>
        <d v="2024-10-31T00:00:00"/>
        <d v="2024-10-07T00:00:00"/>
        <d v="2024-10-17T00:00:00"/>
        <d v="2024-10-24T00:00:00"/>
        <d v="2024-10-10T00:00:00"/>
        <d v="2024-10-11T00:00:00"/>
        <d v="2024-10-22T00:00:00"/>
        <d v="2024-10-26T00:00:00"/>
        <d v="2024-10-15T00:00:00"/>
        <d v="2024-10-20T00:00:00"/>
        <d v="2024-10-02T00:00:00"/>
        <d v="2024-10-03T00:00:00"/>
        <d v="2024-10-08T00:00:00"/>
        <d v="2024-10-14T00:00:00"/>
      </sharedItems>
      <fieldGroup par="10" base="6">
        <rangePr groupBy="days" startDate="2024-10-01T00:00:00" endDate="2024-11-0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1/2024"/>
        </groupItems>
      </fieldGroup>
    </cacheField>
    <cacheField name="End Date" numFmtId="0">
      <sharedItems containsNonDate="0" containsDate="1" containsString="0" containsBlank="1" minDate="2024-10-01T00:00:00" maxDate="2024-11-01T00:00:00"/>
    </cacheField>
    <cacheField name="CPD Version" numFmtId="0">
      <sharedItems containsBlank="1"/>
    </cacheField>
    <cacheField name="WDP" numFmtId="0">
      <sharedItems containsBlank="1" count="13">
        <s v="CONT SEP"/>
        <s v="CP"/>
        <m/>
        <s v="CF"/>
        <s v="FI"/>
        <s v="FICF"/>
        <s v="CF2"/>
        <s v="FICF2"/>
        <s v="CPCF"/>
        <s v="CF4"/>
        <s v="cont Jul" u="1"/>
        <s v="CPCF2" u="1"/>
        <s v="TR" u="1"/>
      </sharedItems>
    </cacheField>
    <cacheField name="Months" numFmtId="0" databaseField="0">
      <fieldGroup base="6">
        <rangePr groupBy="months" startDate="2024-10-01T00:00:00" endDate="2024-11-01T00:00:00"/>
        <groupItems count="14">
          <s v="&lt;01/10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ul Aziani Binti Syaari" refreshedDate="45559.358866666669" createdVersion="1" refreshedVersion="4" recordCount="70" upgradeOnRefresh="1" xr:uid="{CE234ECC-2232-47D8-85D3-D9DEE66B93E4}">
  <cacheSource type="worksheet">
    <worksheetSource ref="A112:H112" sheet="Prod Planning Plant 5 &amp; 6(D365)"/>
  </cacheSource>
  <cacheFields count="8">
    <cacheField name="NGC Line #" numFmtId="0">
      <sharedItems containsString="0" containsBlank="1" containsNumber="1" containsInteger="1" minValue="49" maxValue="60"/>
    </cacheField>
    <cacheField name="Glove Code" numFmtId="0">
      <sharedItems containsBlank="1" count="15">
        <s v="NB-AB-OLPF-035-SE-OBLU-ASTM"/>
        <s v="NB-AB-OLPF-034-SE-VBLU-EN6N"/>
        <s v="PENDING ORDER"/>
        <m/>
        <s v="NB-AB-OLPF-035-SE-WHTE-EN6N"/>
        <s v="NB-AB-OLPF-032-SE-WHTE-EN6N"/>
        <s v="ANNUAL MAINTENANCE"/>
        <s v="NB-AB-OLPF-027-SE-WHTE-ASTM"/>
        <s v="NB-AB-OLPF-040-SE-OBLU-EN6N"/>
        <s v="NB-AB-OLPF-030-SE-WHTE-EN6N"/>
        <s v="NB-AB-OLPF-027-SE-MTBU-ASTM"/>
        <s v="NO DEMAND"/>
        <s v="NB-AB-OLPF-034-SE-GREY-ASTM"/>
        <s v="NB-AB-OLPF-032-SE-VBLU-EN6N"/>
        <s v="NB-AB-OLPF-032-SE-LAVE-ASTM"/>
      </sharedItems>
    </cacheField>
    <cacheField name="LB" numFmtId="0">
      <sharedItems containsBlank="1"/>
    </cacheField>
    <cacheField name="LT" numFmtId="0">
      <sharedItems containsBlank="1"/>
    </cacheField>
    <cacheField name="RB" numFmtId="0">
      <sharedItems containsBlank="1"/>
    </cacheField>
    <cacheField name="RT" numFmtId="0">
      <sharedItems containsBlank="1"/>
    </cacheField>
    <cacheField name="Start Date" numFmtId="0">
      <sharedItems containsNonDate="0" containsDate="1" containsBlank="1" containsMixedTypes="1" minDate="2024-09-17T00:00:00" maxDate="2024-10-30T00:00:00"/>
    </cacheField>
    <cacheField name="End Date" numFmtId="0">
      <sharedItems containsNonDate="0" containsDate="1" containsBlank="1" containsMixedTypes="1" minDate="2024-10-01T00:00:00" maxDate="2024-1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ul Aziani Binti Syaari" refreshedDate="45559.358974768518" createdVersion="1" refreshedVersion="4" recordCount="64" upgradeOnRefresh="1" xr:uid="{2B5E0568-0D89-43DB-8AA4-8FA55B69B4B2}">
  <cacheSource type="worksheet">
    <worksheetSource ref="A76:H100" sheet="Prod Planning Plant 5 &amp; 6(D365)"/>
  </cacheSource>
  <cacheFields count="9">
    <cacheField name="NGC Line #" numFmtId="0">
      <sharedItems containsString="0" containsBlank="1" containsNumber="1" containsInteger="1" minValue="61" maxValue="72"/>
    </cacheField>
    <cacheField name="Glove Code" numFmtId="0">
      <sharedItems containsBlank="1" count="16">
        <s v="NB-AB-OLPF-032-SE-WHTE-EN6N"/>
        <s v="NB-AB-OLPF-034-SE-VBLU-EN6N"/>
        <m/>
        <s v="NB-AB-OLPF-032-SE-VBLU-EN6N"/>
        <s v="ANNUAL MAINTENANCE"/>
        <s v="NB-AB-OLPF-035-SE-VBLU-EN6N"/>
        <s v="PENDING ORDER"/>
        <s v="NO DEMAND"/>
        <s v="NB-AB-OLPF-035-SE-WHTE-OM6N"/>
        <s v="NB-AB-OLPF-032-SE-WHTE-OM6N"/>
        <s v="MODIFICATION WORK"/>
        <s v="NB-AB-OLPF-032-SE-DAWN-OM6N"/>
        <s v="NB-AB-OLPF-030-SE-VBLU-EN6N" u="1"/>
        <s v="NB-AB-OLPF-035-SE-VBLU-ASTM" u="1"/>
        <s v="NB-AB-OLPF-032-SE-DKBU-EN6N" u="1"/>
        <s v="NB-AB-OLPF-027-SE-TTBU-ASTM" u="1"/>
      </sharedItems>
    </cacheField>
    <cacheField name="LB" numFmtId="0">
      <sharedItems containsBlank="1"/>
    </cacheField>
    <cacheField name="LT" numFmtId="0">
      <sharedItems containsBlank="1"/>
    </cacheField>
    <cacheField name="RB" numFmtId="0">
      <sharedItems containsBlank="1"/>
    </cacheField>
    <cacheField name="RT" numFmtId="0">
      <sharedItems containsBlank="1"/>
    </cacheField>
    <cacheField name="Start Date" numFmtId="0">
      <sharedItems containsNonDate="0" containsDate="1" containsString="0" containsBlank="1" minDate="2024-10-01T00:00:00" maxDate="2024-11-01T00:00:00" count="25">
        <d v="2024-10-01T00:00:00"/>
        <d v="2024-10-18T00:00:00"/>
        <m/>
        <d v="2024-10-21T00:00:00"/>
        <d v="2024-10-09T00:00:00"/>
        <d v="2024-10-19T00:00:00"/>
        <d v="2024-10-23T00:00:00"/>
        <d v="2024-10-13T00:00:00"/>
        <d v="2024-10-25T00:00:00"/>
        <d v="2024-10-16T00:00:00"/>
        <d v="2024-10-27T00:00:00"/>
        <d v="2024-10-31T00:00:00"/>
        <d v="2024-10-07T00:00:00"/>
        <d v="2024-10-17T00:00:00"/>
        <d v="2024-10-24T00:00:00"/>
        <d v="2024-10-10T00:00:00"/>
        <d v="2024-10-11T00:00:00"/>
        <d v="2024-10-22T00:00:00"/>
        <d v="2024-10-26T00:00:00"/>
        <d v="2024-10-15T00:00:00"/>
        <d v="2024-10-20T00:00:00"/>
        <d v="2024-10-02T00:00:00"/>
        <d v="2024-10-03T00:00:00"/>
        <d v="2024-10-08T00:00:00"/>
        <d v="2024-10-14T00:00:00"/>
      </sharedItems>
      <fieldGroup par="8" base="6">
        <rangePr groupBy="days" startDate="2024-10-01T00:00:00" endDate="2024-11-0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1/2024"/>
        </groupItems>
      </fieldGroup>
    </cacheField>
    <cacheField name="End Date" numFmtId="0">
      <sharedItems containsNonDate="0" containsDate="1" containsString="0" containsBlank="1" minDate="2024-10-01T00:00:00" maxDate="2024-11-01T00:00:00"/>
    </cacheField>
    <cacheField name="Months" numFmtId="0" databaseField="0">
      <fieldGroup base="6">
        <rangePr groupBy="months" startDate="2024-10-01T00:00:00" endDate="2024-11-01T00:00:00"/>
        <groupItems count="14">
          <s v="&lt;01/10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ul Aziani Binti Syaari" refreshedDate="45831.440418171296" createdVersion="8" refreshedVersion="8" minRefreshableVersion="3" recordCount="56" xr:uid="{1FAD9B08-9CC9-4E56-A0CC-1E3190E34793}">
  <cacheSource type="worksheet">
    <worksheetSource ref="A7:I70" sheet="Prod Planning Plant 5 &amp; 6(D365)"/>
  </cacheSource>
  <cacheFields count="10">
    <cacheField name="NGC Line #" numFmtId="0">
      <sharedItems containsString="0" containsBlank="1" containsNumber="1" containsInteger="1" minValue="49" maxValue="60"/>
    </cacheField>
    <cacheField name="Glove Code" numFmtId="0">
      <sharedItems containsBlank="1"/>
    </cacheField>
    <cacheField name="LB" numFmtId="0">
      <sharedItems containsBlank="1"/>
    </cacheField>
    <cacheField name="LT" numFmtId="0">
      <sharedItems containsBlank="1"/>
    </cacheField>
    <cacheField name="RB" numFmtId="0">
      <sharedItems containsBlank="1"/>
    </cacheField>
    <cacheField name="RT" numFmtId="0">
      <sharedItems containsBlank="1"/>
    </cacheField>
    <cacheField name="Start Date" numFmtId="14">
      <sharedItems containsDate="1" containsBlank="1" containsMixedTypes="1" minDate="2025-07-01T00:00:00" maxDate="2025-07-19T00:00:00" count="16">
        <d v="2025-07-01T00:00:00"/>
        <d v="2025-07-04T00:00:00"/>
        <d v="2025-07-06T00:00:00"/>
        <d v="2025-07-08T00:00:00"/>
        <d v="2025-07-11T00:00:00"/>
        <d v="2025-07-17T00:00:00"/>
        <s v=""/>
        <d v="2025-07-07T00:00:00"/>
        <d v="2025-07-15T00:00:00"/>
        <m/>
        <d v="2025-07-14T00:00:00"/>
        <d v="2025-07-03T00:00:00"/>
        <d v="2025-07-13T00:00:00"/>
        <d v="2025-07-16T00:00:00"/>
        <d v="2025-07-09T00:00:00"/>
        <d v="2025-07-18T00:00:00"/>
      </sharedItems>
    </cacheField>
    <cacheField name="End Date" numFmtId="14">
      <sharedItems containsDate="1" containsBlank="1" containsMixedTypes="1" minDate="2025-07-02T00:00:00" maxDate="2025-08-01T00:00:00"/>
    </cacheField>
    <cacheField name="CPD Version" numFmtId="0">
      <sharedItems containsDate="1" containsBlank="1" containsMixedTypes="1" minDate="2025-07-04T00:00:00" maxDate="2025-07-08T00:00:00"/>
    </cacheField>
    <cacheField name="WDP" numFmtId="0">
      <sharedItems containsBlank="1" count="7">
        <s v="CONT JUN"/>
        <s v="CP"/>
        <s v="CF2"/>
        <m/>
        <s v="CPCF2"/>
        <s v="CF"/>
        <s v="F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61"/>
    <s v="NB-AB-OLPF-032-SE-WHTE-EN6N"/>
    <s v="M"/>
    <s v="M"/>
    <s v="M"/>
    <s v="M"/>
    <x v="0"/>
    <d v="2024-10-17T00:00:00"/>
    <s v="CPD-NB-NT06-WHTE-14 (4HSD, 2.0TiO2, WXT2)"/>
    <x v="0"/>
  </r>
  <r>
    <n v="61"/>
    <s v="NB-AB-OLPF-034-SE-VBLU-EN6N"/>
    <s v="M"/>
    <s v="M"/>
    <s v="M"/>
    <s v="M"/>
    <x v="1"/>
    <d v="2024-10-31T00:00:00"/>
    <s v="CPD-NB-NT06-VBLU-17 (4ESD &gt;&gt; 4HSD, WXT2, 0.27VBLU)"/>
    <x v="1"/>
  </r>
  <r>
    <m/>
    <m/>
    <m/>
    <m/>
    <m/>
    <m/>
    <x v="2"/>
    <m/>
    <m/>
    <x v="2"/>
  </r>
  <r>
    <n v="62"/>
    <s v="NB-AB-OLPF-032-SE-VBLU-EN6N"/>
    <s v="L"/>
    <s v="M"/>
    <s v="M"/>
    <s v="M"/>
    <x v="0"/>
    <d v="2024-10-20T00:00:00"/>
    <s v="CPD-NB-KM01-VBLU-40 (4ESD &gt;&gt; 4HSD, WXT2, 0.27VBLU)"/>
    <x v="3"/>
  </r>
  <r>
    <n v="62"/>
    <s v="ANNUAL MAINTENANCE"/>
    <m/>
    <m/>
    <m/>
    <m/>
    <x v="3"/>
    <d v="2024-10-31T00:00:00"/>
    <m/>
    <x v="2"/>
  </r>
  <r>
    <m/>
    <m/>
    <m/>
    <m/>
    <m/>
    <m/>
    <x v="2"/>
    <m/>
    <m/>
    <x v="2"/>
  </r>
  <r>
    <n v="63"/>
    <s v="NB-AB-OLPF-034-SE-VBLU-EN6N"/>
    <s v="L"/>
    <s v="L"/>
    <s v="L"/>
    <s v="L"/>
    <x v="0"/>
    <d v="2024-10-08T00:00:00"/>
    <s v="CPD-NB-KM01-VBLU-40 (4ESD &gt;&gt; 4HSD, WXT2, 0.27VBLU)"/>
    <x v="4"/>
  </r>
  <r>
    <n v="63"/>
    <s v="NB-AB-OLPF-032-SE-VBLU-EN6N"/>
    <s v="XL"/>
    <s v="L"/>
    <s v="L"/>
    <s v="L"/>
    <x v="4"/>
    <d v="2024-10-18T00:00:00"/>
    <s v="CPD-NB-KM01-VBLU-40 (4ESD &gt;&gt; 4HSD, WXT2, 0.27VBLU)"/>
    <x v="5"/>
  </r>
  <r>
    <n v="63"/>
    <s v="NB-AB-OLPF-035-SE-VBLU-EN6N"/>
    <s v="L"/>
    <s v="L"/>
    <s v="L"/>
    <s v="L"/>
    <x v="5"/>
    <d v="2024-10-20T00:00:00"/>
    <s v="CPD-NB-KM01-VBLU-40 (4ESD &gt;&gt; 4HSD, WXT2, 0.27VBLU)"/>
    <x v="5"/>
  </r>
  <r>
    <n v="63"/>
    <s v="NB-AB-OLPF-032-SE-VBLU-EN6N"/>
    <s v="L"/>
    <s v="L"/>
    <s v="L"/>
    <s v="L"/>
    <x v="3"/>
    <d v="2024-10-22T00:00:00"/>
    <s v="CPD-NB-KM01-VBLU-40 (4ESD &gt;&gt; 4HSD, WXT2, 0.27VBLU)"/>
    <x v="3"/>
  </r>
  <r>
    <n v="63"/>
    <s v="PENDING ORDER"/>
    <m/>
    <m/>
    <m/>
    <m/>
    <x v="6"/>
    <d v="2024-10-31T00:00:00"/>
    <m/>
    <x v="2"/>
  </r>
  <r>
    <m/>
    <m/>
    <m/>
    <m/>
    <m/>
    <m/>
    <x v="2"/>
    <m/>
    <m/>
    <x v="2"/>
  </r>
  <r>
    <n v="64"/>
    <s v="NB-AB-OLPF-032-SE-WHTE-EN6N"/>
    <s v="S"/>
    <s v="S"/>
    <s v="S"/>
    <s v="S"/>
    <x v="0"/>
    <d v="2024-10-12T00:00:00"/>
    <s v="CPD-NB-NT06-WHTE-14 (4HSD, 2.0TiO2, WXT2)"/>
    <x v="0"/>
  </r>
  <r>
    <n v="64"/>
    <s v="NB-AB-OLPF-034-SE-VBLU-EN6N"/>
    <s v="S"/>
    <s v="S"/>
    <s v="S"/>
    <s v="S"/>
    <x v="7"/>
    <d v="2024-10-22T00:00:00"/>
    <s v="CPD-NB-NT06-VBLU-17 (4ESD &gt;&gt; 4HSD, WXT2, 0.27VBLU)"/>
    <x v="1"/>
  </r>
  <r>
    <n v="64"/>
    <s v="NB-AB-OLPF-032-SE-VBLU-EN6N"/>
    <s v="S"/>
    <s v="S"/>
    <s v="S"/>
    <s v="S"/>
    <x v="6"/>
    <d v="2024-10-25T00:00:00"/>
    <m/>
    <x v="4"/>
  </r>
  <r>
    <n v="64"/>
    <s v="PENDING ORDER"/>
    <m/>
    <m/>
    <m/>
    <m/>
    <x v="8"/>
    <d v="2024-10-31T00:00:00"/>
    <m/>
    <x v="2"/>
  </r>
  <r>
    <m/>
    <m/>
    <m/>
    <m/>
    <m/>
    <m/>
    <x v="2"/>
    <m/>
    <m/>
    <x v="2"/>
  </r>
  <r>
    <n v="65"/>
    <s v="NO DEMAND"/>
    <m/>
    <m/>
    <m/>
    <m/>
    <x v="0"/>
    <d v="2024-10-15T00:00:00"/>
    <m/>
    <x v="2"/>
  </r>
  <r>
    <n v="65"/>
    <s v="NB-AB-OLPF-032-SE-VBLU-EN6N"/>
    <s v="S"/>
    <s v="S"/>
    <s v="M"/>
    <s v="M"/>
    <x v="9"/>
    <d v="2024-10-26T00:00:00"/>
    <s v="CPD-NB-KM01-VBLU-40 (4ESD &gt;&gt; 4HSD, WXT2, 0.27VBLU)"/>
    <x v="1"/>
  </r>
  <r>
    <n v="65"/>
    <s v="NB-AB-OLPF-032-SE-VBLU-EN6N"/>
    <s v="S"/>
    <s v="S"/>
    <s v="S"/>
    <s v="S"/>
    <x v="10"/>
    <d v="2024-10-30T00:00:00"/>
    <s v="CPD-NB-KM01-VBLU-40 (4ESD &gt;&gt; 4HSD, WXT2, 0.27VBLU)"/>
    <x v="6"/>
  </r>
  <r>
    <n v="65"/>
    <s v="PENDING ORDER"/>
    <m/>
    <m/>
    <m/>
    <m/>
    <x v="11"/>
    <d v="2024-10-31T00:00:00"/>
    <m/>
    <x v="2"/>
  </r>
  <r>
    <m/>
    <m/>
    <m/>
    <m/>
    <m/>
    <m/>
    <x v="2"/>
    <m/>
    <m/>
    <x v="2"/>
  </r>
  <r>
    <n v="66"/>
    <s v="NB-AB-OLPF-034-SE-VBLU-EN6N"/>
    <s v="S"/>
    <s v="S"/>
    <s v="S"/>
    <s v="S"/>
    <x v="0"/>
    <d v="2024-10-06T00:00:00"/>
    <s v="CPD-NB-KM01-VBLU-40 (4ESD &gt;&gt; 4HSD, WXT2, 0.27VBLU)"/>
    <x v="4"/>
  </r>
  <r>
    <n v="66"/>
    <s v="NB-AB-OLPF-032-SE-VBLU-EN6N"/>
    <s v="S"/>
    <s v="S"/>
    <s v="S"/>
    <s v="XS"/>
    <x v="12"/>
    <d v="2024-10-15T00:00:00"/>
    <s v="CPD-NB-KM01-VBLU-40 (4ESD &gt;&gt; 4HSD, WXT2, 0.27VBLU)"/>
    <x v="5"/>
  </r>
  <r>
    <n v="66"/>
    <s v="NB-AB-OLPF-032-SE-VBLU-EN6N"/>
    <s v="S"/>
    <s v="S"/>
    <s v="S"/>
    <s v="XS"/>
    <x v="9"/>
    <d v="2024-10-16T00:00:00"/>
    <s v="CPD-NB-KM01-VBLU-40 (4ESD &gt;&gt; 4HSD, WXT2, 0.27VBLU)"/>
    <x v="2"/>
  </r>
  <r>
    <n v="66"/>
    <s v="NB-AB-OLPF-035-SE-VBLU-EN6N"/>
    <s v="S"/>
    <s v="S"/>
    <s v="S"/>
    <s v="XS"/>
    <x v="13"/>
    <d v="2024-10-18T00:00:00"/>
    <s v="CPD-NB-KM01-VBLU-40 (4ESD &gt;&gt; 4HSD, WXT2, 0.27VBLU)"/>
    <x v="4"/>
  </r>
  <r>
    <n v="66"/>
    <s v="NB-AB-OLPF-034-SE-VBLU-EN6N"/>
    <s v="S"/>
    <s v="S"/>
    <s v="S"/>
    <s v="S"/>
    <x v="5"/>
    <d v="2024-10-23T00:00:00"/>
    <s v="CPD-NB-KM01-VBLU-40 (4ESD &gt;&gt; 4HSD, WXT2, 0.27VBLU)"/>
    <x v="3"/>
  </r>
  <r>
    <n v="66"/>
    <s v="PENDING ORDER"/>
    <m/>
    <m/>
    <m/>
    <m/>
    <x v="14"/>
    <d v="2024-10-31T00:00:00"/>
    <m/>
    <x v="2"/>
  </r>
  <r>
    <m/>
    <m/>
    <m/>
    <m/>
    <m/>
    <m/>
    <x v="2"/>
    <m/>
    <m/>
    <x v="2"/>
  </r>
  <r>
    <n v="67"/>
    <s v="NB-AB-OLPF-035-SE-WHTE-OM6N"/>
    <s v="XL"/>
    <s v="XL"/>
    <s v="L"/>
    <s v="L"/>
    <x v="0"/>
    <d v="2024-10-09T00:00:00"/>
    <s v="CPD-NB-KM01-WHTE-20 (4HSD, WXT2)"/>
    <x v="0"/>
  </r>
  <r>
    <n v="67"/>
    <s v="NB-AB-OLPF-032-SE-WHTE-OM6N"/>
    <s v="XL"/>
    <s v="XL"/>
    <s v="L"/>
    <s v="L"/>
    <x v="15"/>
    <d v="2024-10-10T00:00:00"/>
    <s v="CPD-NB-KM01-WHTE-20 (4HSD, WXT2)"/>
    <x v="4"/>
  </r>
  <r>
    <n v="67"/>
    <s v="MODIFICATION WORK"/>
    <m/>
    <m/>
    <m/>
    <m/>
    <x v="16"/>
    <d v="2024-10-21T00:00:00"/>
    <m/>
    <x v="2"/>
  </r>
  <r>
    <n v="67"/>
    <s v="NB-AB-OLPF-032-SE-VBLU-EN6N"/>
    <s v="XL"/>
    <s v="XL"/>
    <s v="L"/>
    <s v="L"/>
    <x v="17"/>
    <d v="2024-10-23T00:00:00"/>
    <s v="CPD-NB-KM01-VBLU-40 (4ESD &gt;&gt; 4HSD, WXT2, 0.27VBLU)"/>
    <x v="1"/>
  </r>
  <r>
    <n v="67"/>
    <s v="NB-AB-OLPF-032-SE-VBLU-EN6N"/>
    <s v="XL"/>
    <s v="XL"/>
    <s v="L"/>
    <s v="L"/>
    <x v="14"/>
    <d v="2024-10-25T00:00:00"/>
    <s v="CPD-NB-KM01-VBLU-40 (4ESD &gt;&gt; 4HSD, WXT2, 0.27VBLU)"/>
    <x v="1"/>
  </r>
  <r>
    <n v="67"/>
    <s v="PENDING ORDER"/>
    <m/>
    <m/>
    <m/>
    <m/>
    <x v="18"/>
    <d v="2024-10-31T00:00:00"/>
    <m/>
    <x v="2"/>
  </r>
  <r>
    <m/>
    <m/>
    <m/>
    <m/>
    <m/>
    <m/>
    <x v="2"/>
    <m/>
    <m/>
    <x v="2"/>
  </r>
  <r>
    <n v="68"/>
    <s v="NB-AB-OLPF-035-SE-WHTE-OM6N"/>
    <s v="L"/>
    <s v="L"/>
    <s v="L"/>
    <s v="L"/>
    <x v="19"/>
    <d v="2024-10-12T00:00:00"/>
    <s v="CPD-NB-KM01-WHTE-20 (4HSD, WXT2)"/>
    <x v="0"/>
  </r>
  <r>
    <n v="68"/>
    <s v="NB-AB-OLPF-032-SE-WHTE-OM6N"/>
    <s v="L"/>
    <s v="L"/>
    <s v="L"/>
    <s v="L"/>
    <x v="7"/>
    <d v="2024-10-15T00:00:00"/>
    <s v="CPD-NB-KM01-WHTE-20 (4HSD, WXT2)"/>
    <x v="4"/>
  </r>
  <r>
    <n v="68"/>
    <s v="NB-AB-OLPF-032-SE-VBLU-EN6N"/>
    <s v="L"/>
    <s v="L"/>
    <s v="L"/>
    <s v="L"/>
    <x v="9"/>
    <d v="2024-10-20T00:00:00"/>
    <s v="CPD-NB-KM01-VBLU-40 (4ESD &gt;&gt; 4HSD, WXT2, 0.27VBLU)"/>
    <x v="1"/>
  </r>
  <r>
    <n v="68"/>
    <s v="NB-AB-OLPF-034-SE-VBLU-EN6N"/>
    <s v="L"/>
    <s v="L"/>
    <s v="L"/>
    <s v="L"/>
    <x v="3"/>
    <d v="2024-10-24T00:00:00"/>
    <s v="CPD-NB-KM01-VBLU-40 (4ESD &gt;&gt; 4HSD, WXT2, 0.27VBLU)"/>
    <x v="4"/>
  </r>
  <r>
    <n v="68"/>
    <s v="NB-AB-OLPF-034-SE-VBLU-EN6N"/>
    <s v="XL"/>
    <s v="L"/>
    <s v="L"/>
    <s v="L"/>
    <x v="8"/>
    <d v="2024-10-25T00:00:00"/>
    <s v="CPD-NB-KM01-VBLU-40 (4ESD &gt;&gt; 4HSD, WXT2, 0.27VBLU)"/>
    <x v="3"/>
  </r>
  <r>
    <n v="68"/>
    <s v="PENDING ORDER"/>
    <m/>
    <m/>
    <m/>
    <m/>
    <x v="18"/>
    <d v="2024-10-31T00:00:00"/>
    <m/>
    <x v="2"/>
  </r>
  <r>
    <m/>
    <m/>
    <m/>
    <m/>
    <m/>
    <m/>
    <x v="2"/>
    <m/>
    <m/>
    <x v="2"/>
  </r>
  <r>
    <n v="69"/>
    <s v="NB-AB-OLPF-035-SE-WHTE-OM6N"/>
    <s v="M"/>
    <s v="M"/>
    <s v="M"/>
    <s v="M"/>
    <x v="0"/>
    <d v="2024-10-19T00:00:00"/>
    <s v="CPD-NB-KM01-WHTE-20 (4HSD, WXT2)"/>
    <x v="0"/>
  </r>
  <r>
    <n v="69"/>
    <s v="NB-AB-OLPF-032-SE-VBLU-EN6N"/>
    <s v="M"/>
    <s v="M"/>
    <s v="M"/>
    <s v="M"/>
    <x v="20"/>
    <d v="2024-10-26T00:00:00"/>
    <s v="CPD-NB-KM01-VBLU-40 (4ESD &gt;&gt; 4HSD, WXT2, 0.27VBLU)"/>
    <x v="1"/>
  </r>
  <r>
    <n v="69"/>
    <s v="PENDING ORDER"/>
    <m/>
    <m/>
    <m/>
    <m/>
    <x v="10"/>
    <d v="2024-10-31T00:00:00"/>
    <m/>
    <x v="2"/>
  </r>
  <r>
    <m/>
    <m/>
    <m/>
    <m/>
    <m/>
    <m/>
    <x v="2"/>
    <m/>
    <m/>
    <x v="2"/>
  </r>
  <r>
    <n v="70"/>
    <s v="NB-AB-OLPF-032-SE-VBLU-EN6N"/>
    <s v="S"/>
    <s v="S"/>
    <s v="S"/>
    <s v="S"/>
    <x v="0"/>
    <d v="2024-10-01T00:00:00"/>
    <s v="CPD-NB-NT06-VBLU-17 (4ESD &gt;&gt; 4HSD, WXT2, 0.27VBLU)"/>
    <x v="0"/>
  </r>
  <r>
    <n v="70"/>
    <s v="NB-AB-OLPF-032-SE-VBLU-EN6N"/>
    <s v="S"/>
    <s v="S"/>
    <s v="M"/>
    <s v="M"/>
    <x v="21"/>
    <d v="2024-10-16T00:00:00"/>
    <s v="CPD-NB-NT06-VBLU-17 (4ESD &gt;&gt; 4HSD, WXT2, 0.27VBLU)"/>
    <x v="6"/>
  </r>
  <r>
    <n v="70"/>
    <s v="NB-AB-OLPF-034-SE-VBLU-EN6N"/>
    <s v="M"/>
    <s v="M"/>
    <s v="M"/>
    <s v="M"/>
    <x v="13"/>
    <d v="2024-10-22T00:00:00"/>
    <s v="CPD-NB-KM01-VBLU-40 (4ESD &gt;&gt; 4HSD, WXT2, 0.27VBLU)"/>
    <x v="7"/>
  </r>
  <r>
    <n v="70"/>
    <s v="NB-AB-OLPF-032-SE-VBLU-EN6N"/>
    <s v="M"/>
    <s v="M"/>
    <s v="M"/>
    <s v="M"/>
    <x v="6"/>
    <d v="2024-10-26T00:00:00"/>
    <s v="CPD-NB-NT06-VBLU-17 (4ESD &gt;&gt; 4HSD, WXT2, 0.27VBLU)"/>
    <x v="4"/>
  </r>
  <r>
    <n v="70"/>
    <s v="PENDING ORDER"/>
    <m/>
    <m/>
    <m/>
    <m/>
    <x v="10"/>
    <d v="2024-10-31T00:00:00"/>
    <m/>
    <x v="2"/>
  </r>
  <r>
    <m/>
    <m/>
    <m/>
    <m/>
    <m/>
    <m/>
    <x v="2"/>
    <m/>
    <m/>
    <x v="2"/>
  </r>
  <r>
    <n v="71"/>
    <s v="NB-AB-OLPF-032-SE-VBLU-EN6N"/>
    <s v="S"/>
    <s v="S"/>
    <s v="S"/>
    <s v="S"/>
    <x v="0"/>
    <d v="2024-10-02T00:00:00"/>
    <s v="CPD-NB-KM01-VBLU-40 (4ESD &gt;&gt; 4HSD, WXT2, 0.27VBLU)"/>
    <x v="0"/>
  </r>
  <r>
    <n v="71"/>
    <s v="NB-AB-OLPF-032-SE-DAWN-OM6N"/>
    <s v="S"/>
    <s v="S"/>
    <s v="S"/>
    <s v="S"/>
    <x v="22"/>
    <d v="2024-10-07T00:00:00"/>
    <s v="CPD-NB-KM01-DAWN-03 (4ESD, WXT2)"/>
    <x v="8"/>
  </r>
  <r>
    <n v="71"/>
    <s v="NB-AB-OLPF-032-SE-DAWN-OM6N"/>
    <s v="L"/>
    <s v="M"/>
    <s v="M"/>
    <s v="M"/>
    <x v="23"/>
    <d v="2024-10-13T00:00:00"/>
    <s v="CPD-NB-KM01-DAWN-03 (4ESD, WXT2)"/>
    <x v="9"/>
  </r>
  <r>
    <n v="71"/>
    <s v="NB-AB-OLPF-032-SE-DAWN-OM6N"/>
    <s v="M"/>
    <s v="M"/>
    <s v="M"/>
    <s v="M"/>
    <x v="24"/>
    <d v="2024-10-15T00:00:00"/>
    <s v="CPD-NB-KM01-DAWN-03 (4ESD, WXT2)"/>
    <x v="3"/>
  </r>
  <r>
    <n v="71"/>
    <s v="NB-AB-OLPF-032-SE-VBLU-EN6N"/>
    <s v="M"/>
    <s v="M"/>
    <s v="M"/>
    <s v="M"/>
    <x v="9"/>
    <d v="2024-10-26T00:00:00"/>
    <s v="CPD-NB-KM01-VBLU-40 (4ESD &gt;&gt; 4HSD, WXT2, 0.27VBLU)"/>
    <x v="1"/>
  </r>
  <r>
    <n v="71"/>
    <s v="PENDING ORDER"/>
    <m/>
    <m/>
    <m/>
    <m/>
    <x v="10"/>
    <d v="2024-10-31T00:00:00"/>
    <m/>
    <x v="2"/>
  </r>
  <r>
    <m/>
    <m/>
    <m/>
    <m/>
    <m/>
    <m/>
    <x v="2"/>
    <m/>
    <m/>
    <x v="2"/>
  </r>
  <r>
    <n v="72"/>
    <s v="NB-AB-OLPF-035-SE-WHTE-OM6N"/>
    <s v="M"/>
    <s v="M"/>
    <s v="M"/>
    <s v="M"/>
    <x v="0"/>
    <d v="2024-10-02T00:00:00"/>
    <s v="CPD-NB-KM01-WHTE-20 (4HSD, WXT2)"/>
    <x v="0"/>
  </r>
  <r>
    <n v="72"/>
    <s v="NB-AB-OLPF-034-SE-VBLU-EN6N"/>
    <s v="M"/>
    <s v="M"/>
    <s v="M"/>
    <s v="M"/>
    <x v="22"/>
    <d v="2024-10-10T00:00:00"/>
    <s v="CPD-NB-KM01-VBLU-40 (4ESD &gt;&gt; 4HSD, WXT2, 0.27VBLU)"/>
    <x v="2"/>
  </r>
  <r>
    <n v="72"/>
    <s v="NB-AB-OLPF-035-SE-VBLU-EN6N"/>
    <s v="M"/>
    <s v="M"/>
    <s v="M"/>
    <s v="M"/>
    <x v="16"/>
    <d v="2024-10-18T00:00:00"/>
    <s v="CPD-NB-KM01-VBLU-40 (4ESD &gt;&gt; 4HSD, WXT2, 0.27VBLU)"/>
    <x v="2"/>
  </r>
  <r>
    <n v="72"/>
    <s v="NB-AB-OLPF-034-SE-VBLU-EN6N"/>
    <s v="M"/>
    <s v="M"/>
    <s v="M"/>
    <s v="M"/>
    <x v="5"/>
    <d v="2024-10-31T00:00:00"/>
    <s v="CPD-NB-KM01-VBLU-40 (4ESD &gt;&gt; 4HSD, WXT2, 0.27VBLU)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49"/>
    <x v="0"/>
    <s v="XL"/>
    <s v="L"/>
    <s v="L"/>
    <s v="L"/>
    <d v="2024-10-01T00:00:00"/>
    <d v="2024-10-02T00:00:00"/>
  </r>
  <r>
    <n v="49"/>
    <x v="1"/>
    <s v="XL"/>
    <s v="L"/>
    <s v="L"/>
    <s v="L"/>
    <d v="2024-10-03T00:00:00"/>
    <d v="2024-10-07T00:00:00"/>
  </r>
  <r>
    <n v="49"/>
    <x v="1"/>
    <s v="L"/>
    <s v="L"/>
    <s v="L"/>
    <s v="L"/>
    <d v="2024-10-08T00:00:00"/>
    <d v="2024-10-23T00:00:00"/>
  </r>
  <r>
    <n v="49"/>
    <x v="2"/>
    <m/>
    <m/>
    <m/>
    <m/>
    <d v="2024-10-24T00:00:00"/>
    <d v="2024-10-31T00:00:00"/>
  </r>
  <r>
    <m/>
    <x v="3"/>
    <m/>
    <m/>
    <m/>
    <m/>
    <s v=""/>
    <s v=""/>
  </r>
  <r>
    <n v="50"/>
    <x v="4"/>
    <s v="S"/>
    <s v="S"/>
    <s v="S"/>
    <s v="S"/>
    <d v="2024-10-01T00:00:00"/>
    <d v="2024-10-03T00:00:00"/>
  </r>
  <r>
    <n v="50"/>
    <x v="4"/>
    <s v="S"/>
    <s v="S"/>
    <s v="S"/>
    <s v="S"/>
    <d v="2024-10-04T00:00:00"/>
    <d v="2024-10-07T00:00:00"/>
  </r>
  <r>
    <n v="50"/>
    <x v="4"/>
    <s v="S"/>
    <s v="S"/>
    <s v="S"/>
    <s v="XS"/>
    <d v="2024-10-08T00:00:00"/>
    <d v="2024-10-13T00:00:00"/>
  </r>
  <r>
    <n v="50"/>
    <x v="1"/>
    <s v="S"/>
    <s v="S"/>
    <s v="S"/>
    <s v="XS"/>
    <d v="2024-10-14T00:00:00"/>
    <d v="2024-10-16T00:00:00"/>
  </r>
  <r>
    <n v="50"/>
    <x v="1"/>
    <s v="S"/>
    <s v="S"/>
    <s v="S"/>
    <s v="S"/>
    <d v="2024-10-17T00:00:00"/>
    <d v="2024-10-19T00:00:00"/>
  </r>
  <r>
    <n v="50"/>
    <x v="2"/>
    <m/>
    <m/>
    <m/>
    <m/>
    <d v="2024-10-20T00:00:00"/>
    <d v="2024-10-31T00:00:00"/>
  </r>
  <r>
    <m/>
    <x v="3"/>
    <m/>
    <m/>
    <m/>
    <m/>
    <m/>
    <m/>
  </r>
  <r>
    <n v="51"/>
    <x v="5"/>
    <s v="M"/>
    <s v="M"/>
    <s v="L"/>
    <s v="L"/>
    <d v="2024-10-01T00:00:00"/>
    <d v="2024-10-03T00:00:00"/>
  </r>
  <r>
    <n v="51"/>
    <x v="6"/>
    <m/>
    <m/>
    <m/>
    <m/>
    <d v="2024-10-04T00:00:00"/>
    <d v="2024-10-14T00:00:00"/>
  </r>
  <r>
    <n v="51"/>
    <x v="7"/>
    <s v="L"/>
    <s v="M"/>
    <s v="M"/>
    <s v="M"/>
    <d v="2024-10-15T00:00:00"/>
    <d v="2024-10-18T00:00:00"/>
  </r>
  <r>
    <n v="51"/>
    <x v="4"/>
    <s v="L"/>
    <s v="M"/>
    <s v="M"/>
    <s v="M"/>
    <d v="2024-10-19T00:00:00"/>
    <d v="2024-10-21T00:00:00"/>
  </r>
  <r>
    <n v="51"/>
    <x v="5"/>
    <s v="L"/>
    <s v="L"/>
    <s v="M"/>
    <s v="M"/>
    <d v="2024-10-22T00:00:00"/>
    <d v="2024-10-31T00:00:00"/>
  </r>
  <r>
    <m/>
    <x v="3"/>
    <m/>
    <m/>
    <m/>
    <m/>
    <m/>
    <m/>
  </r>
  <r>
    <n v="52"/>
    <x v="8"/>
    <s v="S"/>
    <s v="S"/>
    <s v="M"/>
    <s v="M"/>
    <d v="2024-10-01T00:00:00"/>
    <d v="2024-10-03T00:00:00"/>
  </r>
  <r>
    <n v="52"/>
    <x v="8"/>
    <s v="M"/>
    <s v="M"/>
    <s v="M"/>
    <s v="M"/>
    <d v="2024-10-04T00:00:00"/>
    <d v="2024-10-07T00:00:00"/>
  </r>
  <r>
    <n v="52"/>
    <x v="7"/>
    <s v="M"/>
    <s v="M"/>
    <s v="M"/>
    <s v="M"/>
    <d v="2024-10-08T00:00:00"/>
    <d v="2024-10-11T00:00:00"/>
  </r>
  <r>
    <n v="52"/>
    <x v="9"/>
    <s v="M"/>
    <s v="M"/>
    <s v="M"/>
    <s v="M"/>
    <d v="2024-10-12T00:00:00"/>
    <d v="2024-10-16T00:00:00"/>
  </r>
  <r>
    <n v="52"/>
    <x v="4"/>
    <s v="M"/>
    <s v="M"/>
    <s v="M"/>
    <s v="M"/>
    <d v="2024-09-17T00:00:00"/>
    <d v="2024-10-21T00:00:00"/>
  </r>
  <r>
    <n v="52"/>
    <x v="1"/>
    <s v="M"/>
    <s v="M"/>
    <s v="M"/>
    <s v="M"/>
    <d v="2024-10-22T00:00:00"/>
    <d v="2024-10-28T00:00:00"/>
  </r>
  <r>
    <n v="52"/>
    <x v="4"/>
    <s v="M"/>
    <s v="M"/>
    <s v="M"/>
    <s v="M"/>
    <d v="2024-10-29T00:00:00"/>
    <d v="2024-10-31T00:00:00"/>
  </r>
  <r>
    <m/>
    <x v="3"/>
    <m/>
    <m/>
    <m/>
    <m/>
    <m/>
    <m/>
  </r>
  <r>
    <n v="53"/>
    <x v="10"/>
    <s v="S"/>
    <s v="S"/>
    <s v="S"/>
    <s v="S"/>
    <d v="2024-10-01T00:00:00"/>
    <d v="2024-10-05T00:00:00"/>
  </r>
  <r>
    <n v="53"/>
    <x v="7"/>
    <s v="S"/>
    <s v="S"/>
    <s v="S"/>
    <s v="S"/>
    <d v="2024-10-06T00:00:00"/>
    <d v="2024-10-09T00:00:00"/>
  </r>
  <r>
    <n v="53"/>
    <x v="7"/>
    <s v="S"/>
    <s v="S"/>
    <s v="XS"/>
    <s v="XS"/>
    <d v="2024-10-10T00:00:00"/>
    <d v="2024-10-15T00:00:00"/>
  </r>
  <r>
    <n v="53"/>
    <x v="4"/>
    <s v="XL"/>
    <s v="L"/>
    <s v="L"/>
    <s v="L"/>
    <d v="2024-10-16T00:00:00"/>
    <d v="2024-10-22T00:00:00"/>
  </r>
  <r>
    <n v="53"/>
    <x v="4"/>
    <s v="L"/>
    <s v="L"/>
    <s v="L"/>
    <s v="L"/>
    <d v="2024-10-23T00:00:00"/>
    <d v="2024-10-28T00:00:00"/>
  </r>
  <r>
    <n v="53"/>
    <x v="2"/>
    <m/>
    <m/>
    <m/>
    <m/>
    <d v="2024-10-29T00:00:00"/>
    <d v="2024-10-31T00:00:00"/>
  </r>
  <r>
    <m/>
    <x v="3"/>
    <m/>
    <m/>
    <m/>
    <m/>
    <m/>
    <m/>
  </r>
  <r>
    <n v="54"/>
    <x v="11"/>
    <m/>
    <m/>
    <m/>
    <m/>
    <d v="2024-10-01T00:00:00"/>
    <d v="2024-10-04T00:00:00"/>
  </r>
  <r>
    <n v="54"/>
    <x v="12"/>
    <s v="M"/>
    <s v="M"/>
    <s v="M"/>
    <s v="M"/>
    <d v="2024-10-05T00:00:00"/>
    <d v="2024-10-20T00:00:00"/>
  </r>
  <r>
    <n v="54"/>
    <x v="2"/>
    <m/>
    <m/>
    <m/>
    <m/>
    <d v="2024-10-21T00:00:00"/>
    <d v="2024-10-31T00:00:00"/>
  </r>
  <r>
    <m/>
    <x v="3"/>
    <m/>
    <m/>
    <m/>
    <m/>
    <m/>
    <m/>
  </r>
  <r>
    <n v="55"/>
    <x v="11"/>
    <m/>
    <m/>
    <m/>
    <m/>
    <d v="2024-10-01T00:00:00"/>
    <d v="2024-10-04T00:00:00"/>
  </r>
  <r>
    <n v="55"/>
    <x v="12"/>
    <s v="S"/>
    <s v="S"/>
    <s v="S"/>
    <s v="S"/>
    <d v="2024-10-05T00:00:00"/>
    <d v="2024-10-17T00:00:00"/>
  </r>
  <r>
    <n v="55"/>
    <x v="2"/>
    <m/>
    <m/>
    <m/>
    <m/>
    <d v="2024-10-18T00:00:00"/>
    <d v="2024-10-31T00:00:00"/>
  </r>
  <r>
    <m/>
    <x v="3"/>
    <m/>
    <m/>
    <m/>
    <m/>
    <m/>
    <m/>
  </r>
  <r>
    <n v="56"/>
    <x v="11"/>
    <m/>
    <m/>
    <m/>
    <m/>
    <d v="2024-10-01T00:00:00"/>
    <d v="2024-10-04T00:00:00"/>
  </r>
  <r>
    <n v="56"/>
    <x v="12"/>
    <s v="S"/>
    <s v="S"/>
    <s v="S"/>
    <s v="S"/>
    <d v="2024-10-05T00:00:00"/>
    <d v="2024-10-18T00:00:00"/>
  </r>
  <r>
    <n v="56"/>
    <x v="2"/>
    <m/>
    <m/>
    <m/>
    <m/>
    <d v="2024-10-19T00:00:00"/>
    <d v="2024-10-31T00:00:00"/>
  </r>
  <r>
    <m/>
    <x v="3"/>
    <m/>
    <m/>
    <m/>
    <m/>
    <m/>
    <m/>
  </r>
  <r>
    <n v="57"/>
    <x v="5"/>
    <s v="M"/>
    <s v="M"/>
    <s v="M"/>
    <s v="M"/>
    <d v="2024-10-01T00:00:00"/>
    <d v="2024-10-05T00:00:00"/>
  </r>
  <r>
    <n v="57"/>
    <x v="12"/>
    <s v="M"/>
    <s v="M"/>
    <s v="M"/>
    <s v="M"/>
    <d v="2024-10-06T00:00:00"/>
    <d v="2024-10-21T00:00:00"/>
  </r>
  <r>
    <n v="57"/>
    <x v="2"/>
    <m/>
    <m/>
    <m/>
    <m/>
    <d v="2024-10-22T00:00:00"/>
    <d v="2024-10-31T00:00:00"/>
  </r>
  <r>
    <m/>
    <x v="3"/>
    <m/>
    <m/>
    <m/>
    <m/>
    <m/>
    <m/>
  </r>
  <r>
    <n v="58"/>
    <x v="0"/>
    <s v="S"/>
    <s v="S"/>
    <s v="M"/>
    <s v="M"/>
    <d v="2024-10-01T00:00:00"/>
    <d v="2024-10-09T00:00:00"/>
  </r>
  <r>
    <n v="58"/>
    <x v="0"/>
    <s v="S"/>
    <s v="S"/>
    <s v="S"/>
    <s v="S"/>
    <d v="2024-10-10T00:00:00"/>
    <d v="2024-10-11T00:00:00"/>
  </r>
  <r>
    <n v="58"/>
    <x v="9"/>
    <s v="S"/>
    <s v="S"/>
    <s v="S"/>
    <s v="S"/>
    <d v="2024-10-12T00:00:00"/>
    <d v="2024-10-14T00:00:00"/>
  </r>
  <r>
    <n v="58"/>
    <x v="4"/>
    <s v="S"/>
    <s v="S"/>
    <s v="S"/>
    <s v="S"/>
    <d v="2024-10-15T00:00:00"/>
    <d v="2024-10-23T00:00:00"/>
  </r>
  <r>
    <n v="58"/>
    <x v="2"/>
    <m/>
    <m/>
    <m/>
    <m/>
    <d v="2024-10-24T00:00:00"/>
    <d v="2024-10-31T00:00:00"/>
  </r>
  <r>
    <m/>
    <x v="3"/>
    <m/>
    <m/>
    <m/>
    <m/>
    <m/>
    <m/>
  </r>
  <r>
    <n v="59"/>
    <x v="5"/>
    <s v="L"/>
    <s v="L"/>
    <s v="L"/>
    <s v="L"/>
    <d v="2024-10-01T00:00:00"/>
    <d v="2024-10-03T00:00:00"/>
  </r>
  <r>
    <n v="59"/>
    <x v="4"/>
    <s v="L"/>
    <s v="L"/>
    <s v="L"/>
    <s v="L"/>
    <d v="2024-10-04T00:00:00"/>
    <d v="2024-10-04T00:00:00"/>
  </r>
  <r>
    <n v="59"/>
    <x v="4"/>
    <s v="XL"/>
    <s v="XL"/>
    <s v="L"/>
    <s v="L"/>
    <d v="2024-10-05T00:00:00"/>
    <d v="2024-10-06T00:00:00"/>
  </r>
  <r>
    <n v="59"/>
    <x v="5"/>
    <s v="XL"/>
    <s v="XL"/>
    <s v="L"/>
    <s v="L"/>
    <d v="2024-10-07T00:00:00"/>
    <d v="2024-10-11T00:00:00"/>
  </r>
  <r>
    <n v="59"/>
    <x v="8"/>
    <s v="XL"/>
    <s v="XL"/>
    <s v="L"/>
    <s v="L"/>
    <d v="2024-10-12T00:00:00"/>
    <d v="2024-10-14T00:00:00"/>
  </r>
  <r>
    <n v="59"/>
    <x v="8"/>
    <s v="XXL"/>
    <s v="L"/>
    <s v="L"/>
    <s v="L"/>
    <d v="2024-10-15T00:00:00"/>
    <d v="2024-10-18T00:00:00"/>
  </r>
  <r>
    <n v="59"/>
    <x v="1"/>
    <s v="XXL"/>
    <s v="L"/>
    <s v="L"/>
    <s v="L"/>
    <d v="2024-10-19T00:00:00"/>
    <d v="2024-10-20T00:00:00"/>
  </r>
  <r>
    <n v="59"/>
    <x v="13"/>
    <s v="XXL"/>
    <s v="L"/>
    <s v="L"/>
    <s v="L"/>
    <d v="2024-10-21T00:00:00"/>
    <d v="2024-10-22T00:00:00"/>
  </r>
  <r>
    <n v="59"/>
    <x v="2"/>
    <m/>
    <m/>
    <m/>
    <m/>
    <d v="2024-10-23T00:00:00"/>
    <d v="2024-10-31T00:00:00"/>
  </r>
  <r>
    <m/>
    <x v="3"/>
    <m/>
    <m/>
    <m/>
    <m/>
    <m/>
    <m/>
  </r>
  <r>
    <n v="60"/>
    <x v="14"/>
    <s v="M"/>
    <s v="M"/>
    <s v="M"/>
    <s v="M"/>
    <d v="2024-10-01T00:00:00"/>
    <d v="2024-10-01T00:00:00"/>
  </r>
  <r>
    <n v="60"/>
    <x v="11"/>
    <m/>
    <m/>
    <m/>
    <m/>
    <d v="2024-10-02T00:00:00"/>
    <d v="2024-10-04T00:00:00"/>
  </r>
  <r>
    <n v="60"/>
    <x v="12"/>
    <s v="M"/>
    <s v="M"/>
    <s v="M"/>
    <s v="M"/>
    <d v="2024-10-05T00:00:00"/>
    <d v="2024-10-21T00:00:00"/>
  </r>
  <r>
    <n v="60"/>
    <x v="2"/>
    <m/>
    <m/>
    <m/>
    <m/>
    <d v="2024-10-22T00:00:00"/>
    <d v="2024-10-31T00:00:00"/>
  </r>
  <r>
    <m/>
    <x v="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61"/>
    <x v="0"/>
    <s v="M"/>
    <s v="M"/>
    <s v="M"/>
    <s v="M"/>
    <x v="0"/>
    <d v="2024-10-17T00:00:00"/>
  </r>
  <r>
    <n v="61"/>
    <x v="1"/>
    <s v="M"/>
    <s v="M"/>
    <s v="M"/>
    <s v="M"/>
    <x v="1"/>
    <d v="2024-10-31T00:00:00"/>
  </r>
  <r>
    <m/>
    <x v="2"/>
    <m/>
    <m/>
    <m/>
    <m/>
    <x v="2"/>
    <m/>
  </r>
  <r>
    <n v="62"/>
    <x v="3"/>
    <s v="L"/>
    <s v="M"/>
    <s v="M"/>
    <s v="M"/>
    <x v="0"/>
    <d v="2024-10-20T00:00:00"/>
  </r>
  <r>
    <n v="62"/>
    <x v="4"/>
    <m/>
    <m/>
    <m/>
    <m/>
    <x v="3"/>
    <d v="2024-10-31T00:00:00"/>
  </r>
  <r>
    <m/>
    <x v="2"/>
    <m/>
    <m/>
    <m/>
    <m/>
    <x v="2"/>
    <m/>
  </r>
  <r>
    <n v="63"/>
    <x v="1"/>
    <s v="L"/>
    <s v="L"/>
    <s v="L"/>
    <s v="L"/>
    <x v="0"/>
    <d v="2024-10-08T00:00:00"/>
  </r>
  <r>
    <n v="63"/>
    <x v="3"/>
    <s v="XL"/>
    <s v="L"/>
    <s v="L"/>
    <s v="L"/>
    <x v="4"/>
    <d v="2024-10-18T00:00:00"/>
  </r>
  <r>
    <n v="63"/>
    <x v="5"/>
    <s v="L"/>
    <s v="L"/>
    <s v="L"/>
    <s v="L"/>
    <x v="5"/>
    <d v="2024-10-20T00:00:00"/>
  </r>
  <r>
    <n v="63"/>
    <x v="3"/>
    <s v="L"/>
    <s v="L"/>
    <s v="L"/>
    <s v="L"/>
    <x v="3"/>
    <d v="2024-10-22T00:00:00"/>
  </r>
  <r>
    <n v="63"/>
    <x v="6"/>
    <m/>
    <m/>
    <m/>
    <m/>
    <x v="6"/>
    <d v="2024-10-31T00:00:00"/>
  </r>
  <r>
    <m/>
    <x v="2"/>
    <m/>
    <m/>
    <m/>
    <m/>
    <x v="2"/>
    <m/>
  </r>
  <r>
    <n v="64"/>
    <x v="0"/>
    <s v="S"/>
    <s v="S"/>
    <s v="S"/>
    <s v="S"/>
    <x v="0"/>
    <d v="2024-10-12T00:00:00"/>
  </r>
  <r>
    <n v="64"/>
    <x v="1"/>
    <s v="S"/>
    <s v="S"/>
    <s v="S"/>
    <s v="S"/>
    <x v="7"/>
    <d v="2024-10-22T00:00:00"/>
  </r>
  <r>
    <n v="64"/>
    <x v="3"/>
    <s v="S"/>
    <s v="S"/>
    <s v="S"/>
    <s v="S"/>
    <x v="6"/>
    <d v="2024-10-25T00:00:00"/>
  </r>
  <r>
    <n v="64"/>
    <x v="6"/>
    <m/>
    <m/>
    <m/>
    <m/>
    <x v="8"/>
    <d v="2024-10-31T00:00:00"/>
  </r>
  <r>
    <m/>
    <x v="2"/>
    <m/>
    <m/>
    <m/>
    <m/>
    <x v="2"/>
    <m/>
  </r>
  <r>
    <n v="65"/>
    <x v="7"/>
    <m/>
    <m/>
    <m/>
    <m/>
    <x v="0"/>
    <d v="2024-10-15T00:00:00"/>
  </r>
  <r>
    <n v="65"/>
    <x v="3"/>
    <s v="S"/>
    <s v="S"/>
    <s v="M"/>
    <s v="M"/>
    <x v="9"/>
    <d v="2024-10-26T00:00:00"/>
  </r>
  <r>
    <n v="65"/>
    <x v="3"/>
    <s v="S"/>
    <s v="S"/>
    <s v="S"/>
    <s v="S"/>
    <x v="10"/>
    <d v="2024-10-30T00:00:00"/>
  </r>
  <r>
    <n v="65"/>
    <x v="6"/>
    <m/>
    <m/>
    <m/>
    <m/>
    <x v="11"/>
    <d v="2024-10-31T00:00:00"/>
  </r>
  <r>
    <m/>
    <x v="2"/>
    <m/>
    <m/>
    <m/>
    <m/>
    <x v="2"/>
    <m/>
  </r>
  <r>
    <n v="66"/>
    <x v="1"/>
    <s v="S"/>
    <s v="S"/>
    <s v="S"/>
    <s v="S"/>
    <x v="0"/>
    <d v="2024-10-06T00:00:00"/>
  </r>
  <r>
    <n v="66"/>
    <x v="3"/>
    <s v="S"/>
    <s v="S"/>
    <s v="S"/>
    <s v="XS"/>
    <x v="12"/>
    <d v="2024-10-15T00:00:00"/>
  </r>
  <r>
    <n v="66"/>
    <x v="3"/>
    <s v="S"/>
    <s v="S"/>
    <s v="S"/>
    <s v="XS"/>
    <x v="9"/>
    <d v="2024-10-16T00:00:00"/>
  </r>
  <r>
    <n v="66"/>
    <x v="5"/>
    <s v="S"/>
    <s v="S"/>
    <s v="S"/>
    <s v="XS"/>
    <x v="13"/>
    <d v="2024-10-18T00:00:00"/>
  </r>
  <r>
    <n v="66"/>
    <x v="1"/>
    <s v="S"/>
    <s v="S"/>
    <s v="S"/>
    <s v="S"/>
    <x v="5"/>
    <d v="2024-10-23T00:00:00"/>
  </r>
  <r>
    <n v="66"/>
    <x v="6"/>
    <m/>
    <m/>
    <m/>
    <m/>
    <x v="14"/>
    <d v="2024-10-31T00:00:00"/>
  </r>
  <r>
    <m/>
    <x v="2"/>
    <m/>
    <m/>
    <m/>
    <m/>
    <x v="2"/>
    <m/>
  </r>
  <r>
    <n v="67"/>
    <x v="8"/>
    <s v="XL"/>
    <s v="XL"/>
    <s v="L"/>
    <s v="L"/>
    <x v="0"/>
    <d v="2024-10-09T00:00:00"/>
  </r>
  <r>
    <n v="67"/>
    <x v="9"/>
    <s v="XL"/>
    <s v="XL"/>
    <s v="L"/>
    <s v="L"/>
    <x v="15"/>
    <d v="2024-10-10T00:00:00"/>
  </r>
  <r>
    <n v="67"/>
    <x v="10"/>
    <m/>
    <m/>
    <m/>
    <m/>
    <x v="16"/>
    <d v="2024-10-21T00:00:00"/>
  </r>
  <r>
    <n v="67"/>
    <x v="3"/>
    <s v="XL"/>
    <s v="XL"/>
    <s v="L"/>
    <s v="L"/>
    <x v="17"/>
    <d v="2024-10-23T00:00:00"/>
  </r>
  <r>
    <n v="67"/>
    <x v="3"/>
    <s v="XL"/>
    <s v="XL"/>
    <s v="L"/>
    <s v="L"/>
    <x v="14"/>
    <d v="2024-10-25T00:00:00"/>
  </r>
  <r>
    <n v="67"/>
    <x v="6"/>
    <m/>
    <m/>
    <m/>
    <m/>
    <x v="18"/>
    <d v="2024-10-31T00:00:00"/>
  </r>
  <r>
    <m/>
    <x v="2"/>
    <m/>
    <m/>
    <m/>
    <m/>
    <x v="2"/>
    <m/>
  </r>
  <r>
    <n v="68"/>
    <x v="8"/>
    <s v="L"/>
    <s v="L"/>
    <s v="L"/>
    <s v="L"/>
    <x v="19"/>
    <d v="2024-10-12T00:00:00"/>
  </r>
  <r>
    <n v="68"/>
    <x v="9"/>
    <s v="L"/>
    <s v="L"/>
    <s v="L"/>
    <s v="L"/>
    <x v="7"/>
    <d v="2024-10-15T00:00:00"/>
  </r>
  <r>
    <n v="68"/>
    <x v="3"/>
    <s v="L"/>
    <s v="L"/>
    <s v="L"/>
    <s v="L"/>
    <x v="9"/>
    <d v="2024-10-20T00:00:00"/>
  </r>
  <r>
    <n v="68"/>
    <x v="1"/>
    <s v="L"/>
    <s v="L"/>
    <s v="L"/>
    <s v="L"/>
    <x v="3"/>
    <d v="2024-10-24T00:00:00"/>
  </r>
  <r>
    <n v="68"/>
    <x v="1"/>
    <s v="XL"/>
    <s v="L"/>
    <s v="L"/>
    <s v="L"/>
    <x v="8"/>
    <d v="2024-10-25T00:00:00"/>
  </r>
  <r>
    <n v="68"/>
    <x v="6"/>
    <m/>
    <m/>
    <m/>
    <m/>
    <x v="18"/>
    <d v="2024-10-31T00:00:00"/>
  </r>
  <r>
    <m/>
    <x v="2"/>
    <m/>
    <m/>
    <m/>
    <m/>
    <x v="2"/>
    <m/>
  </r>
  <r>
    <n v="69"/>
    <x v="8"/>
    <s v="M"/>
    <s v="M"/>
    <s v="M"/>
    <s v="M"/>
    <x v="0"/>
    <d v="2024-10-19T00:00:00"/>
  </r>
  <r>
    <n v="69"/>
    <x v="3"/>
    <s v="M"/>
    <s v="M"/>
    <s v="M"/>
    <s v="M"/>
    <x v="20"/>
    <d v="2024-10-26T00:00:00"/>
  </r>
  <r>
    <n v="69"/>
    <x v="6"/>
    <m/>
    <m/>
    <m/>
    <m/>
    <x v="10"/>
    <d v="2024-10-31T00:00:00"/>
  </r>
  <r>
    <m/>
    <x v="2"/>
    <m/>
    <m/>
    <m/>
    <m/>
    <x v="2"/>
    <m/>
  </r>
  <r>
    <n v="70"/>
    <x v="3"/>
    <s v="S"/>
    <s v="S"/>
    <s v="S"/>
    <s v="S"/>
    <x v="0"/>
    <d v="2024-10-01T00:00:00"/>
  </r>
  <r>
    <n v="70"/>
    <x v="3"/>
    <s v="S"/>
    <s v="S"/>
    <s v="M"/>
    <s v="M"/>
    <x v="21"/>
    <d v="2024-10-16T00:00:00"/>
  </r>
  <r>
    <n v="70"/>
    <x v="1"/>
    <s v="M"/>
    <s v="M"/>
    <s v="M"/>
    <s v="M"/>
    <x v="13"/>
    <d v="2024-10-22T00:00:00"/>
  </r>
  <r>
    <n v="70"/>
    <x v="3"/>
    <s v="M"/>
    <s v="M"/>
    <s v="M"/>
    <s v="M"/>
    <x v="6"/>
    <d v="2024-10-26T00:00:00"/>
  </r>
  <r>
    <n v="70"/>
    <x v="6"/>
    <m/>
    <m/>
    <m/>
    <m/>
    <x v="10"/>
    <d v="2024-10-31T00:00:00"/>
  </r>
  <r>
    <m/>
    <x v="2"/>
    <m/>
    <m/>
    <m/>
    <m/>
    <x v="2"/>
    <m/>
  </r>
  <r>
    <n v="71"/>
    <x v="3"/>
    <s v="S"/>
    <s v="S"/>
    <s v="S"/>
    <s v="S"/>
    <x v="0"/>
    <d v="2024-10-02T00:00:00"/>
  </r>
  <r>
    <n v="71"/>
    <x v="11"/>
    <s v="S"/>
    <s v="S"/>
    <s v="S"/>
    <s v="S"/>
    <x v="22"/>
    <d v="2024-10-07T00:00:00"/>
  </r>
  <r>
    <n v="71"/>
    <x v="11"/>
    <s v="L"/>
    <s v="M"/>
    <s v="M"/>
    <s v="M"/>
    <x v="23"/>
    <d v="2024-10-13T00:00:00"/>
  </r>
  <r>
    <n v="71"/>
    <x v="11"/>
    <s v="M"/>
    <s v="M"/>
    <s v="M"/>
    <s v="M"/>
    <x v="24"/>
    <d v="2024-10-15T00:00:00"/>
  </r>
  <r>
    <n v="71"/>
    <x v="3"/>
    <s v="M"/>
    <s v="M"/>
    <s v="M"/>
    <s v="M"/>
    <x v="9"/>
    <d v="2024-10-26T00:00:00"/>
  </r>
  <r>
    <n v="71"/>
    <x v="6"/>
    <m/>
    <m/>
    <m/>
    <m/>
    <x v="10"/>
    <d v="2024-10-31T00:00:00"/>
  </r>
  <r>
    <m/>
    <x v="2"/>
    <m/>
    <m/>
    <m/>
    <m/>
    <x v="2"/>
    <m/>
  </r>
  <r>
    <n v="72"/>
    <x v="8"/>
    <s v="M"/>
    <s v="M"/>
    <s v="M"/>
    <s v="M"/>
    <x v="0"/>
    <d v="2024-10-02T00:00:00"/>
  </r>
  <r>
    <n v="72"/>
    <x v="1"/>
    <s v="M"/>
    <s v="M"/>
    <s v="M"/>
    <s v="M"/>
    <x v="22"/>
    <d v="2024-10-10T00:00:00"/>
  </r>
  <r>
    <n v="72"/>
    <x v="5"/>
    <s v="M"/>
    <s v="M"/>
    <s v="M"/>
    <s v="M"/>
    <x v="16"/>
    <d v="2024-10-18T00:00:00"/>
  </r>
  <r>
    <n v="72"/>
    <x v="1"/>
    <s v="M"/>
    <s v="M"/>
    <s v="M"/>
    <s v="M"/>
    <x v="5"/>
    <d v="2024-10-31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49"/>
    <s v="NB-AB-OLPF-033-SE-VIOL-ASTM"/>
    <s v="L"/>
    <s v="L"/>
    <s v="L"/>
    <s v="L"/>
    <x v="0"/>
    <d v="2025-07-03T00:00:00"/>
    <s v="CPD-NB-KM01-VIOL-08 (4HSD, 0.261857B, WAX4)"/>
    <x v="0"/>
  </r>
  <r>
    <n v="49"/>
    <s v="NB-AB-OLPF-027-SE-WHTE-ASTM"/>
    <s v="L"/>
    <s v="L"/>
    <s v="L"/>
    <s v="L"/>
    <x v="1"/>
    <d v="2025-07-05T00:00:00"/>
    <m/>
    <x v="1"/>
  </r>
  <r>
    <n v="49"/>
    <s v="NB-AB-OLPF-030-SE-VBLU-EN6N"/>
    <s v="L"/>
    <s v="L"/>
    <s v="L"/>
    <s v="L"/>
    <x v="2"/>
    <d v="2025-07-07T00:00:00"/>
    <m/>
    <x v="1"/>
  </r>
  <r>
    <n v="49"/>
    <s v="NB-AB-OLPF-030-SE-VBLU-EN6N"/>
    <s v="XL"/>
    <s v="XL"/>
    <s v="L"/>
    <s v="L"/>
    <x v="3"/>
    <d v="2025-07-10T00:00:00"/>
    <m/>
    <x v="2"/>
  </r>
  <r>
    <n v="49"/>
    <s v="NB-AB-OLPF-034-SE-VBLU-EN6N"/>
    <s v="XL"/>
    <s v="XL"/>
    <s v="L"/>
    <s v="L"/>
    <x v="4"/>
    <d v="2025-07-16T00:00:00"/>
    <m/>
    <x v="1"/>
  </r>
  <r>
    <n v="49"/>
    <s v="PENDING ORDER"/>
    <m/>
    <m/>
    <m/>
    <m/>
    <x v="5"/>
    <d v="2025-07-31T00:00:00"/>
    <m/>
    <x v="3"/>
  </r>
  <r>
    <m/>
    <m/>
    <m/>
    <m/>
    <m/>
    <m/>
    <x v="6"/>
    <s v=""/>
    <m/>
    <x v="3"/>
  </r>
  <r>
    <n v="50"/>
    <s v="NB-AB-OLPF-033-SE-VIOL-ASTM"/>
    <s v="S"/>
    <s v="S"/>
    <s v="S"/>
    <s v="S"/>
    <x v="0"/>
    <d v="2025-07-06T00:00:00"/>
    <s v="CPD-NB-KM01-VIOL-08 (4HSD, 0.261857B, WAX4)"/>
    <x v="0"/>
  </r>
  <r>
    <n v="50"/>
    <s v="NB-AB-OLPF-027-SE-WHTE-ASTM"/>
    <s v="S"/>
    <s v="S"/>
    <s v="XS"/>
    <s v="XS"/>
    <x v="7"/>
    <d v="2025-07-10T00:00:00"/>
    <m/>
    <x v="4"/>
  </r>
  <r>
    <n v="50"/>
    <s v="NB-AB-OLPF-034-SE-WHTE-EN6N"/>
    <s v="S"/>
    <s v="S"/>
    <s v="XS"/>
    <s v="XS"/>
    <x v="4"/>
    <d v="2025-07-14T00:00:00"/>
    <s v="CPD-NB-LG01-WHTE-12 (4HSD,WAX4)"/>
    <x v="1"/>
  </r>
  <r>
    <n v="50"/>
    <s v="PENDING ORDER"/>
    <m/>
    <m/>
    <m/>
    <m/>
    <x v="8"/>
    <d v="2025-07-31T00:00:00"/>
    <m/>
    <x v="3"/>
  </r>
  <r>
    <m/>
    <m/>
    <m/>
    <m/>
    <m/>
    <m/>
    <x v="9"/>
    <m/>
    <m/>
    <x v="3"/>
  </r>
  <r>
    <n v="51"/>
    <s v="NB-AB-OLPF-027-SE-DKBU-ASTM"/>
    <s v="S"/>
    <s v="S"/>
    <s v="M"/>
    <s v="M"/>
    <x v="0"/>
    <d v="2025-07-05T00:00:00"/>
    <m/>
    <x v="0"/>
  </r>
  <r>
    <n v="51"/>
    <s v="NB-AB-OLPF-034-SE-WHTE-EN6N"/>
    <s v="S"/>
    <s v="S"/>
    <s v="M"/>
    <s v="M"/>
    <x v="2"/>
    <d v="2025-07-13T00:00:00"/>
    <s v="CPD-NB-LG01-WHTE-12 (4HSD,WAX4)"/>
    <x v="1"/>
  </r>
  <r>
    <n v="51"/>
    <s v="PENDING ORDER"/>
    <m/>
    <m/>
    <m/>
    <m/>
    <x v="10"/>
    <d v="2025-07-31T00:00:00"/>
    <m/>
    <x v="3"/>
  </r>
  <r>
    <m/>
    <m/>
    <m/>
    <m/>
    <m/>
    <m/>
    <x v="9"/>
    <m/>
    <m/>
    <x v="3"/>
  </r>
  <r>
    <n v="52"/>
    <s v="NB-AB-OLPF-027-SE-DKBU-ASTM"/>
    <s v="S"/>
    <s v="S"/>
    <s v="S"/>
    <s v="XS"/>
    <x v="0"/>
    <d v="2025-07-02T00:00:00"/>
    <s v="CPD-NB-LG01-DKBU-16 (ZNO1.3phr,WAX4)"/>
    <x v="0"/>
  </r>
  <r>
    <n v="52"/>
    <s v="NB-AB-OLPF-034-SE-VBLU-EN6N"/>
    <s v="S"/>
    <s v="S"/>
    <s v="S"/>
    <s v="XS"/>
    <x v="11"/>
    <d v="2025-07-12T00:00:00"/>
    <m/>
    <x v="1"/>
  </r>
  <r>
    <n v="52"/>
    <s v="NB-AB-OLPF-030-SE-VBLU-EN6N"/>
    <s v="S"/>
    <s v="S"/>
    <s v="S"/>
    <s v="XS"/>
    <x v="12"/>
    <d v="2025-07-15T00:00:00"/>
    <d v="2025-07-04T00:00:00"/>
    <x v="1"/>
  </r>
  <r>
    <n v="52"/>
    <s v="PENDING ORDER"/>
    <m/>
    <m/>
    <m/>
    <m/>
    <x v="13"/>
    <d v="2025-07-31T00:00:00"/>
    <m/>
    <x v="3"/>
  </r>
  <r>
    <m/>
    <m/>
    <m/>
    <m/>
    <m/>
    <m/>
    <x v="9"/>
    <m/>
    <m/>
    <x v="3"/>
  </r>
  <r>
    <n v="53"/>
    <s v="NB-AB-OLPF-032-SE-MTBU-ACCF"/>
    <s v="S"/>
    <s v="S"/>
    <s v="M"/>
    <s v="M"/>
    <x v="0"/>
    <d v="2025-07-03T00:00:00"/>
    <s v="CPD-NB-KM01-MTBU-10 (4R086A, 1.0ZnO,ATO2, WAX4)"/>
    <x v="0"/>
  </r>
  <r>
    <n v="53"/>
    <s v="NB-AB-OLPF-032-SE-MTBU-ACCF"/>
    <s v="S"/>
    <s v="S"/>
    <s v="M"/>
    <s v="XS"/>
    <x v="1"/>
    <d v="2025-07-05T00:00:00"/>
    <d v="2025-07-07T00:00:00"/>
    <x v="5"/>
  </r>
  <r>
    <n v="53"/>
    <s v="NB-AB-OLPF-032-SE-MTBU-ACCF"/>
    <s v="S"/>
    <s v="S"/>
    <s v="S"/>
    <s v="S"/>
    <x v="2"/>
    <d v="2025-07-08T00:00:00"/>
    <m/>
    <x v="2"/>
  </r>
  <r>
    <n v="53"/>
    <s v="NB-AB-OLPF-027-SE-WHTE-ASTM"/>
    <s v="S"/>
    <s v="S"/>
    <s v="S"/>
    <s v="S"/>
    <x v="14"/>
    <d v="2025-07-12T00:00:00"/>
    <m/>
    <x v="1"/>
  </r>
  <r>
    <n v="53"/>
    <s v="PENDING ORDER"/>
    <m/>
    <m/>
    <m/>
    <m/>
    <x v="12"/>
    <d v="2025-07-31T00:00:00"/>
    <m/>
    <x v="3"/>
  </r>
  <r>
    <m/>
    <m/>
    <m/>
    <m/>
    <m/>
    <m/>
    <x v="9"/>
    <m/>
    <m/>
    <x v="3"/>
  </r>
  <r>
    <n v="54"/>
    <s v="NB-AB-OLPF-027-SE-MTBU-ASTM"/>
    <s v="XL"/>
    <s v="XL"/>
    <s v="L"/>
    <s v="L"/>
    <x v="0"/>
    <d v="2025-07-02T00:00:00"/>
    <s v="CPD-NB-LG01-MTBU-02 (WAX4)"/>
    <x v="1"/>
  </r>
  <r>
    <n v="54"/>
    <s v="NB-AB-OLPF-034-SE-VBLU-EN6N"/>
    <s v="XL"/>
    <s v="XL"/>
    <s v="L"/>
    <s v="L"/>
    <x v="11"/>
    <d v="2025-07-06T00:00:00"/>
    <m/>
    <x v="1"/>
  </r>
  <r>
    <n v="54"/>
    <s v="MODIFICATION WORK - HIK &amp; CLEANING AREA"/>
    <m/>
    <m/>
    <m/>
    <m/>
    <x v="7"/>
    <d v="2025-07-12T00:00:00"/>
    <m/>
    <x v="3"/>
  </r>
  <r>
    <n v="54"/>
    <s v="NB-AB-OLPF-034-SE-VBLU-EN6N"/>
    <s v="XL"/>
    <s v="XL"/>
    <s v="L"/>
    <s v="L"/>
    <x v="12"/>
    <d v="2025-07-16T00:00:00"/>
    <m/>
    <x v="3"/>
  </r>
  <r>
    <n v="54"/>
    <s v="PENDING ORDER"/>
    <m/>
    <m/>
    <m/>
    <m/>
    <x v="5"/>
    <d v="2025-07-31T00:00:00"/>
    <m/>
    <x v="3"/>
  </r>
  <r>
    <m/>
    <m/>
    <m/>
    <m/>
    <m/>
    <m/>
    <x v="9"/>
    <m/>
    <m/>
    <x v="3"/>
  </r>
  <r>
    <n v="55"/>
    <s v="NB-AB-OLPF-030-SE-DKBU-EN6N"/>
    <s v="S"/>
    <s v="S"/>
    <s v="S"/>
    <s v="S"/>
    <x v="0"/>
    <d v="2025-07-03T00:00:00"/>
    <m/>
    <x v="6"/>
  </r>
  <r>
    <n v="55"/>
    <s v="NB-AB-OLPF-027-SE-DKBU-ASTM"/>
    <s v="S"/>
    <s v="S"/>
    <s v="S"/>
    <s v="S"/>
    <x v="1"/>
    <d v="2025-07-14T00:00:00"/>
    <s v="CPD-NB-KM01-DKBU-27 (WAX4)"/>
    <x v="6"/>
  </r>
  <r>
    <n v="55"/>
    <s v="PENDING ORDER"/>
    <m/>
    <m/>
    <m/>
    <m/>
    <x v="8"/>
    <d v="2025-07-31T00:00:00"/>
    <m/>
    <x v="3"/>
  </r>
  <r>
    <m/>
    <m/>
    <m/>
    <m/>
    <m/>
    <m/>
    <x v="9"/>
    <m/>
    <m/>
    <x v="3"/>
  </r>
  <r>
    <n v="56"/>
    <s v="NB-AB-OLPF-032-SE-VBLU-EN6N"/>
    <s v="M"/>
    <s v="M"/>
    <s v="M"/>
    <s v="M"/>
    <x v="0"/>
    <d v="2025-07-08T00:00:00"/>
    <s v="CPD-NB-LG01-VBLU-20 (4R086A, WAX4,VBL2)"/>
    <x v="0"/>
  </r>
  <r>
    <n v="56"/>
    <s v="NB-AB-OLPF-034-SE-VBLU-EN6N"/>
    <s v="M"/>
    <s v="M"/>
    <s v="M"/>
    <s v="M"/>
    <x v="14"/>
    <d v="2025-07-14T00:00:00"/>
    <m/>
    <x v="6"/>
  </r>
  <r>
    <n v="56"/>
    <s v="PENDING ORDER"/>
    <m/>
    <m/>
    <m/>
    <m/>
    <x v="8"/>
    <d v="2025-07-31T00:00:00"/>
    <m/>
    <x v="3"/>
  </r>
  <r>
    <m/>
    <m/>
    <m/>
    <m/>
    <m/>
    <m/>
    <x v="9"/>
    <m/>
    <m/>
    <x v="3"/>
  </r>
  <r>
    <n v="57"/>
    <s v="NB-AB-OLPF-034-SE-VBLU-EN6N"/>
    <s v="M"/>
    <s v="M"/>
    <s v="M"/>
    <s v="M"/>
    <x v="0"/>
    <d v="2025-07-14T00:00:00"/>
    <m/>
    <x v="0"/>
  </r>
  <r>
    <n v="57"/>
    <s v="PENDING ORDER"/>
    <m/>
    <m/>
    <m/>
    <m/>
    <x v="8"/>
    <d v="2025-07-31T00:00:00"/>
    <m/>
    <x v="3"/>
  </r>
  <r>
    <m/>
    <m/>
    <m/>
    <m/>
    <m/>
    <m/>
    <x v="9"/>
    <m/>
    <m/>
    <x v="3"/>
  </r>
  <r>
    <n v="58"/>
    <s v="NB-AB-OLPF-027-SE-MTBU-ASTM"/>
    <s v="S"/>
    <s v="S"/>
    <s v="S"/>
    <s v="S"/>
    <x v="0"/>
    <d v="2025-07-06T00:00:00"/>
    <s v="CPD-NB-LG01-MTBU-02 (WAX4)"/>
    <x v="0"/>
  </r>
  <r>
    <n v="58"/>
    <s v="NB-AB-OLPF-030-SE-VBLU-EN6N"/>
    <s v="S"/>
    <s v="S"/>
    <s v="S"/>
    <s v="S"/>
    <x v="7"/>
    <d v="2025-07-08T00:00:00"/>
    <d v="2025-07-04T00:00:00"/>
    <x v="1"/>
  </r>
  <r>
    <n v="58"/>
    <s v="NB-AB-OLPF-034-SE-VBLU-EN6N"/>
    <s v="S"/>
    <s v="S"/>
    <s v="S"/>
    <s v="S"/>
    <x v="14"/>
    <d v="2025-07-17T00:00:00"/>
    <m/>
    <x v="1"/>
  </r>
  <r>
    <n v="58"/>
    <s v="PENDING ORDER"/>
    <m/>
    <m/>
    <m/>
    <m/>
    <x v="15"/>
    <d v="2025-07-31T00:00:00"/>
    <m/>
    <x v="3"/>
  </r>
  <r>
    <m/>
    <m/>
    <m/>
    <m/>
    <m/>
    <m/>
    <x v="9"/>
    <m/>
    <m/>
    <x v="3"/>
  </r>
  <r>
    <n v="59"/>
    <s v="NB-AB-OLPF-033-SE-VIOL-ASTM"/>
    <s v="M"/>
    <s v="M"/>
    <s v="M"/>
    <s v="M"/>
    <x v="0"/>
    <d v="2025-07-03T00:00:00"/>
    <s v="CPD-NB-KM01-VIOL-08 (4HSD, 0.261857B, WAX4)"/>
    <x v="0"/>
  </r>
  <r>
    <n v="59"/>
    <s v="NB-AB-OLPF-027-SE-WHTE-ASTM"/>
    <s v="M"/>
    <s v="M"/>
    <s v="M"/>
    <s v="M"/>
    <x v="1"/>
    <d v="2025-07-08T00:00:00"/>
    <m/>
    <x v="1"/>
  </r>
  <r>
    <n v="59"/>
    <s v="NB-AB-OLPF-034-SE-VBLU-EN6N"/>
    <s v="M"/>
    <s v="M"/>
    <s v="M"/>
    <s v="M"/>
    <x v="14"/>
    <d v="2025-07-14T00:00:00"/>
    <m/>
    <x v="1"/>
  </r>
  <r>
    <n v="59"/>
    <s v="PENDING ORDER"/>
    <m/>
    <m/>
    <m/>
    <m/>
    <x v="8"/>
    <d v="2025-07-31T00:00:00"/>
    <m/>
    <x v="3"/>
  </r>
  <r>
    <m/>
    <m/>
    <m/>
    <m/>
    <m/>
    <m/>
    <x v="9"/>
    <m/>
    <m/>
    <x v="3"/>
  </r>
  <r>
    <n v="60"/>
    <s v="ANNUAL MAINTENANCE"/>
    <m/>
    <m/>
    <m/>
    <m/>
    <x v="0"/>
    <d v="2025-07-11T00:00:00"/>
    <m/>
    <x v="3"/>
  </r>
  <r>
    <n v="60"/>
    <s v="PENDING ORDER"/>
    <m/>
    <m/>
    <m/>
    <m/>
    <x v="12"/>
    <d v="2025-07-31T00:00:00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0DB00-82DF-4415-9922-63BB089E6CF0}" name="PivotTable6" cacheId="2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Q37:R51" firstHeaderRow="2" firstDataRow="2" firstDataCol="1"/>
  <pivotFields count="9">
    <pivotField dataField="1" compact="0" outline="0" subtotalTop="0" showAll="0" includeNewItemsInFilter="1"/>
    <pivotField axis="axisRow" compact="0" outline="0" subtotalTop="0" showAll="0" includeNewItemsInFilter="1">
      <items count="17">
        <item x="3"/>
        <item x="2"/>
        <item x="11"/>
        <item x="4"/>
        <item m="1" x="13"/>
        <item x="5"/>
        <item x="10"/>
        <item m="1" x="15"/>
        <item m="1" x="12"/>
        <item x="0"/>
        <item m="1" x="14"/>
        <item x="6"/>
        <item x="1"/>
        <item x="7"/>
        <item x="8"/>
        <item x="9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</pivotFields>
  <rowFields count="1">
    <field x="1"/>
  </rowFields>
  <rowItems count="13">
    <i>
      <x/>
    </i>
    <i>
      <x v="1"/>
    </i>
    <i>
      <x v="2"/>
    </i>
    <i>
      <x v="3"/>
    </i>
    <i>
      <x v="5"/>
    </i>
    <i>
      <x v="6"/>
    </i>
    <i>
      <x v="9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NGC Line #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56C66-E709-4758-BA6D-70E40FF1EE6D}" name="PivotTable5" cacheId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N2:O19" firstHeaderRow="2" firstDataRow="2" firstDataCol="1"/>
  <pivotFields count="8">
    <pivotField dataField="1" compact="0" outline="0" subtotalTop="0" showAll="0" includeNewItemsInFilter="1"/>
    <pivotField axis="axisRow" compact="0" outline="0" subtotalTop="0" showAll="0" includeNewItemsInFilter="1">
      <items count="16">
        <item x="3"/>
        <item x="11"/>
        <item x="7"/>
        <item x="4"/>
        <item x="8"/>
        <item x="10"/>
        <item x="12"/>
        <item x="6"/>
        <item x="2"/>
        <item x="14"/>
        <item x="0"/>
        <item x="1"/>
        <item x="5"/>
        <item x="9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NGC Line #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E0485-F7F1-4C5F-9DCA-F7C244DB4FAE}" name="PivotTable3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7:H51" firstHeaderRow="1" firstDataRow="2" firstDataCol="1"/>
  <pivotFields count="11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cludeNewItemsInFilter="1"/>
    <pivotField compact="0" outline="0" showAll="0" includeNewItemsInFilter="1"/>
    <pivotField axis="axisCol" dataField="1" compact="0" outline="0" showAll="0" includeNewItemsInFilter="1">
      <items count="14">
        <item h="1" x="1"/>
        <item h="1" x="2"/>
        <item h="1" x="4"/>
        <item x="3"/>
        <item x="5"/>
        <item x="6"/>
        <item x="8"/>
        <item m="1" x="11"/>
        <item h="1" m="1" x="10"/>
        <item h="1" m="1" x="12"/>
        <item x="9"/>
        <item h="1" x="0"/>
        <item x="7"/>
        <item t="default"/>
      </items>
    </pivotField>
    <pivotField compact="0" outline="0" subtotalTop="0" showAll="0" includeNewItemsInFilter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6"/>
  </rowFields>
  <rowItems count="13">
    <i>
      <x v="275"/>
    </i>
    <i>
      <x v="276"/>
    </i>
    <i>
      <x v="277"/>
    </i>
    <i>
      <x v="281"/>
    </i>
    <i>
      <x v="282"/>
    </i>
    <i>
      <x v="283"/>
    </i>
    <i>
      <x v="288"/>
    </i>
    <i>
      <x v="291"/>
    </i>
    <i>
      <x v="293"/>
    </i>
    <i>
      <x v="295"/>
    </i>
    <i>
      <x v="299"/>
    </i>
    <i>
      <x v="301"/>
    </i>
    <i t="grand">
      <x/>
    </i>
  </rowItems>
  <colFields count="1">
    <field x="9"/>
  </colFields>
  <colItems count="7">
    <i>
      <x v="3"/>
    </i>
    <i>
      <x v="4"/>
    </i>
    <i>
      <x v="5"/>
    </i>
    <i>
      <x v="6"/>
    </i>
    <i>
      <x v="10"/>
    </i>
    <i>
      <x v="12"/>
    </i>
    <i t="grand">
      <x/>
    </i>
  </colItems>
  <dataFields count="1">
    <dataField name="Count of WDP" fld="9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619EB-7B3D-4045-8B1B-B5552DC401AA}" name="PivotTable1" cacheId="3" dataOnRows="1" applyNumberFormats="0" applyBorderFormats="0" applyFontFormats="0" applyPatternFormats="0" applyAlignmentFormats="0" applyWidthHeightFormats="1" dataCaption="Data" updatedVersion="8" showMemberPropertyTips="0" itemPrintTitles="1" createdVersion="1" indent="0" compact="0" compactData="0" gridDropZones="1">
  <location ref="A3:E9" firstHeaderRow="1" firstDataRow="2" firstDataCol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>
      <items count="17">
        <item x="6"/>
        <item x="0"/>
        <item x="11"/>
        <item x="1"/>
        <item x="2"/>
        <item x="7"/>
        <item x="3"/>
        <item x="14"/>
        <item x="4"/>
        <item x="12"/>
        <item x="10"/>
        <item x="8"/>
        <item x="13"/>
        <item x="5"/>
        <item x="15"/>
        <item x="9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8">
        <item h="1" x="3"/>
        <item h="1" x="1"/>
        <item x="5"/>
        <item x="2"/>
        <item h="1" x="6"/>
        <item h="1" x="0"/>
        <item x="4"/>
        <item t="default"/>
      </items>
    </pivotField>
  </pivotFields>
  <rowFields count="1">
    <field x="6"/>
  </rowFields>
  <rowItems count="5">
    <i>
      <x v="3"/>
    </i>
    <i>
      <x v="4"/>
    </i>
    <i>
      <x v="5"/>
    </i>
    <i>
      <x v="6"/>
    </i>
    <i t="grand">
      <x/>
    </i>
  </rowItems>
  <colFields count="1">
    <field x="9"/>
  </colFields>
  <colItems count="4">
    <i>
      <x v="2"/>
    </i>
    <i>
      <x v="3"/>
    </i>
    <i>
      <x v="6"/>
    </i>
    <i t="grand">
      <x/>
    </i>
  </colItems>
  <dataFields count="1">
    <dataField name="Count of WDP" fld="9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731D-4894-43EF-8ABB-ADB4F522546D}">
  <sheetPr>
    <pageSetUpPr fitToPage="1"/>
  </sheetPr>
  <dimension ref="A1:J222"/>
  <sheetViews>
    <sheetView showGridLines="0" zoomScale="85" zoomScaleNormal="85" zoomScaleSheetLayoutView="85" workbookViewId="0">
      <pane ySplit="7" topLeftCell="A8" activePane="bottomLeft" state="frozen"/>
      <selection pane="bottomLeft" activeCell="B16" sqref="B16:E17"/>
    </sheetView>
  </sheetViews>
  <sheetFormatPr defaultColWidth="11.54296875" defaultRowHeight="12.25" customHeight="1" outlineLevelCol="1" x14ac:dyDescent="0.25"/>
  <cols>
    <col min="1" max="1" width="12.453125" style="7" customWidth="1"/>
    <col min="2" max="2" width="49.81640625" style="7" customWidth="1"/>
    <col min="3" max="6" width="12.453125" style="7" customWidth="1"/>
    <col min="7" max="8" width="13.7265625" style="210" customWidth="1"/>
    <col min="9" max="9" width="63.1796875" style="8" customWidth="1"/>
    <col min="10" max="10" width="35.6328125" style="40" customWidth="1" outlineLevel="1"/>
    <col min="11" max="11" width="11.54296875" style="7" customWidth="1"/>
    <col min="12" max="16384" width="11.54296875" style="7"/>
  </cols>
  <sheetData>
    <row r="1" spans="1:10" ht="14.5" x14ac:dyDescent="0.25">
      <c r="A1" s="5" t="s">
        <v>7</v>
      </c>
      <c r="B1" s="6"/>
      <c r="H1" s="211"/>
      <c r="I1" s="6"/>
    </row>
    <row r="2" spans="1:10" ht="15" customHeight="1" x14ac:dyDescent="0.25">
      <c r="A2" s="6"/>
      <c r="B2" s="6"/>
      <c r="H2" s="211"/>
      <c r="I2" s="6"/>
    </row>
    <row r="3" spans="1:10" ht="14.5" x14ac:dyDescent="0.25">
      <c r="A3" s="5" t="s">
        <v>176</v>
      </c>
      <c r="B3" s="5"/>
      <c r="C3" s="5" t="s">
        <v>69</v>
      </c>
      <c r="H3" s="212" t="s">
        <v>221</v>
      </c>
      <c r="I3" s="6"/>
    </row>
    <row r="4" spans="1:10" ht="21" x14ac:dyDescent="0.25">
      <c r="A4" s="6"/>
      <c r="B4" s="9"/>
      <c r="H4" s="213" t="s">
        <v>201</v>
      </c>
      <c r="I4" s="6"/>
    </row>
    <row r="5" spans="1:10" ht="14.5" x14ac:dyDescent="0.25">
      <c r="A5" s="5" t="s">
        <v>4</v>
      </c>
      <c r="B5" s="6"/>
      <c r="C5" s="6"/>
      <c r="D5" s="6"/>
      <c r="E5" s="6"/>
      <c r="F5" s="6"/>
      <c r="G5" s="214"/>
      <c r="H5" s="214"/>
      <c r="I5" s="6"/>
    </row>
    <row r="6" spans="1:10" ht="14.5" x14ac:dyDescent="0.25">
      <c r="A6" s="6"/>
      <c r="B6" s="6"/>
      <c r="C6" s="300" t="s">
        <v>16</v>
      </c>
      <c r="D6" s="301"/>
      <c r="E6" s="301"/>
      <c r="F6" s="302"/>
      <c r="G6" s="298" t="s">
        <v>1</v>
      </c>
      <c r="H6" s="299"/>
      <c r="I6" s="6"/>
    </row>
    <row r="7" spans="1:10" ht="20.149999999999999" customHeight="1" x14ac:dyDescent="0.25">
      <c r="A7" s="14" t="s">
        <v>0</v>
      </c>
      <c r="B7" s="14" t="s">
        <v>8</v>
      </c>
      <c r="C7" s="14" t="s">
        <v>10</v>
      </c>
      <c r="D7" s="14" t="s">
        <v>9</v>
      </c>
      <c r="E7" s="14" t="s">
        <v>12</v>
      </c>
      <c r="F7" s="14" t="s">
        <v>11</v>
      </c>
      <c r="G7" s="219" t="s">
        <v>13</v>
      </c>
      <c r="H7" s="219" t="s">
        <v>14</v>
      </c>
      <c r="I7" s="14" t="s">
        <v>46</v>
      </c>
      <c r="J7" s="130" t="s">
        <v>74</v>
      </c>
    </row>
    <row r="8" spans="1:10" s="10" customFormat="1" ht="18" customHeight="1" x14ac:dyDescent="0.25">
      <c r="A8" s="47">
        <v>49</v>
      </c>
      <c r="B8" s="220" t="s">
        <v>106</v>
      </c>
      <c r="C8" s="220" t="s">
        <v>53</v>
      </c>
      <c r="D8" s="220" t="s">
        <v>53</v>
      </c>
      <c r="E8" s="220" t="s">
        <v>53</v>
      </c>
      <c r="F8" s="220" t="s">
        <v>53</v>
      </c>
      <c r="G8" s="221">
        <v>45839</v>
      </c>
      <c r="H8" s="221">
        <v>45841</v>
      </c>
      <c r="I8" s="200" t="s">
        <v>191</v>
      </c>
      <c r="J8" s="195"/>
    </row>
    <row r="9" spans="1:10" s="10" customFormat="1" ht="18" customHeight="1" x14ac:dyDescent="0.25">
      <c r="A9" s="47"/>
      <c r="B9" s="222" t="s">
        <v>34</v>
      </c>
      <c r="C9" s="220" t="s">
        <v>53</v>
      </c>
      <c r="D9" s="220" t="s">
        <v>53</v>
      </c>
      <c r="E9" s="220" t="s">
        <v>53</v>
      </c>
      <c r="F9" s="220" t="s">
        <v>53</v>
      </c>
      <c r="G9" s="221">
        <v>45842</v>
      </c>
      <c r="H9" s="221">
        <v>45843</v>
      </c>
      <c r="I9" s="200" t="s">
        <v>198</v>
      </c>
      <c r="J9" s="195"/>
    </row>
    <row r="10" spans="1:10" s="10" customFormat="1" ht="18" customHeight="1" x14ac:dyDescent="0.25">
      <c r="A10" s="47"/>
      <c r="B10" s="223" t="s">
        <v>58</v>
      </c>
      <c r="C10" s="223" t="s">
        <v>51</v>
      </c>
      <c r="D10" s="223" t="s">
        <v>53</v>
      </c>
      <c r="E10" s="223" t="s">
        <v>53</v>
      </c>
      <c r="F10" s="223" t="s">
        <v>53</v>
      </c>
      <c r="G10" s="224">
        <v>45844</v>
      </c>
      <c r="H10" s="224">
        <v>45848</v>
      </c>
      <c r="I10" s="200" t="s">
        <v>212</v>
      </c>
      <c r="J10" s="195"/>
    </row>
    <row r="11" spans="1:10" s="10" customFormat="1" ht="18" customHeight="1" x14ac:dyDescent="0.25">
      <c r="A11" s="47"/>
      <c r="B11" s="225" t="s">
        <v>86</v>
      </c>
      <c r="C11" s="226" t="s">
        <v>51</v>
      </c>
      <c r="D11" s="227" t="s">
        <v>53</v>
      </c>
      <c r="E11" s="227" t="s">
        <v>53</v>
      </c>
      <c r="F11" s="220" t="s">
        <v>53</v>
      </c>
      <c r="G11" s="221">
        <v>45849</v>
      </c>
      <c r="H11" s="228">
        <v>45855</v>
      </c>
      <c r="I11" s="200" t="s">
        <v>213</v>
      </c>
      <c r="J11" s="195"/>
    </row>
    <row r="12" spans="1:10" s="10" customFormat="1" ht="18" customHeight="1" x14ac:dyDescent="0.25">
      <c r="A12" s="47"/>
      <c r="B12" s="223" t="s">
        <v>35</v>
      </c>
      <c r="C12" s="229" t="s">
        <v>51</v>
      </c>
      <c r="D12" s="229" t="s">
        <v>53</v>
      </c>
      <c r="E12" s="229" t="s">
        <v>53</v>
      </c>
      <c r="F12" s="229" t="s">
        <v>53</v>
      </c>
      <c r="G12" s="230">
        <v>45856</v>
      </c>
      <c r="H12" s="230">
        <v>45858</v>
      </c>
      <c r="I12" s="201" t="s">
        <v>195</v>
      </c>
      <c r="J12" s="195"/>
    </row>
    <row r="13" spans="1:10" s="10" customFormat="1" ht="17" customHeight="1" x14ac:dyDescent="0.25">
      <c r="A13" s="47"/>
      <c r="B13" s="303" t="s">
        <v>81</v>
      </c>
      <c r="C13" s="304"/>
      <c r="D13" s="304"/>
      <c r="E13" s="304"/>
      <c r="F13" s="305"/>
      <c r="G13" s="232">
        <v>45859</v>
      </c>
      <c r="H13" s="233">
        <v>45869</v>
      </c>
      <c r="I13" s="14"/>
      <c r="J13" s="195"/>
    </row>
    <row r="14" spans="1:10" ht="7.5" customHeight="1" x14ac:dyDescent="0.25">
      <c r="A14" s="14"/>
      <c r="B14" s="4"/>
      <c r="C14" s="4"/>
      <c r="D14" s="4"/>
      <c r="E14" s="4"/>
      <c r="F14" s="4"/>
      <c r="G14" s="234" t="s">
        <v>15</v>
      </c>
      <c r="H14" s="235" t="s">
        <v>15</v>
      </c>
      <c r="I14" s="14"/>
      <c r="J14" s="195"/>
    </row>
    <row r="15" spans="1:10" s="10" customFormat="1" ht="18" customHeight="1" x14ac:dyDescent="0.35">
      <c r="A15" s="39">
        <v>50</v>
      </c>
      <c r="B15" s="220" t="s">
        <v>37</v>
      </c>
      <c r="C15" s="220" t="s">
        <v>50</v>
      </c>
      <c r="D15" s="220" t="s">
        <v>50</v>
      </c>
      <c r="E15" s="220" t="s">
        <v>50</v>
      </c>
      <c r="F15" s="220" t="s">
        <v>50</v>
      </c>
      <c r="G15" s="236">
        <v>45839</v>
      </c>
      <c r="H15" s="230">
        <v>45839</v>
      </c>
      <c r="I15" s="202" t="s">
        <v>214</v>
      </c>
      <c r="J15" s="195"/>
    </row>
    <row r="16" spans="1:10" s="10" customFormat="1" ht="18" customHeight="1" x14ac:dyDescent="0.25">
      <c r="A16" s="39"/>
      <c r="B16" s="223" t="s">
        <v>35</v>
      </c>
      <c r="C16" s="229" t="s">
        <v>50</v>
      </c>
      <c r="D16" s="229" t="s">
        <v>50</v>
      </c>
      <c r="E16" s="229" t="s">
        <v>50</v>
      </c>
      <c r="F16" s="229" t="s">
        <v>50</v>
      </c>
      <c r="G16" s="230">
        <v>45840</v>
      </c>
      <c r="H16" s="230">
        <v>45844</v>
      </c>
      <c r="I16" s="201" t="s">
        <v>195</v>
      </c>
      <c r="J16" s="195">
        <f>H16-G16</f>
        <v>4</v>
      </c>
    </row>
    <row r="17" spans="1:10" s="10" customFormat="1" ht="18" customHeight="1" x14ac:dyDescent="0.25">
      <c r="A17" s="39"/>
      <c r="B17" s="222" t="s">
        <v>34</v>
      </c>
      <c r="C17" s="222" t="s">
        <v>50</v>
      </c>
      <c r="D17" s="222" t="s">
        <v>50</v>
      </c>
      <c r="E17" s="222" t="s">
        <v>192</v>
      </c>
      <c r="F17" s="222" t="s">
        <v>192</v>
      </c>
      <c r="G17" s="232">
        <v>45845</v>
      </c>
      <c r="H17" s="233">
        <v>45848</v>
      </c>
      <c r="I17" s="200" t="s">
        <v>198</v>
      </c>
      <c r="J17" s="195"/>
    </row>
    <row r="18" spans="1:10" s="10" customFormat="1" ht="17" customHeight="1" x14ac:dyDescent="0.25">
      <c r="A18" s="39"/>
      <c r="B18" s="231" t="s">
        <v>196</v>
      </c>
      <c r="C18" s="220" t="s">
        <v>50</v>
      </c>
      <c r="D18" s="220" t="s">
        <v>50</v>
      </c>
      <c r="E18" s="220" t="s">
        <v>192</v>
      </c>
      <c r="F18" s="220" t="s">
        <v>192</v>
      </c>
      <c r="G18" s="221">
        <v>45849</v>
      </c>
      <c r="H18" s="228">
        <v>45855</v>
      </c>
      <c r="I18" s="200" t="s">
        <v>197</v>
      </c>
      <c r="J18" s="195"/>
    </row>
    <row r="19" spans="1:10" s="10" customFormat="1" ht="18" customHeight="1" x14ac:dyDescent="0.25">
      <c r="A19" s="39"/>
      <c r="B19" s="225" t="s">
        <v>86</v>
      </c>
      <c r="C19" s="226" t="s">
        <v>50</v>
      </c>
      <c r="D19" s="227" t="s">
        <v>50</v>
      </c>
      <c r="E19" s="220" t="s">
        <v>192</v>
      </c>
      <c r="F19" s="220" t="s">
        <v>192</v>
      </c>
      <c r="G19" s="221">
        <v>45856</v>
      </c>
      <c r="H19" s="221">
        <v>45860</v>
      </c>
      <c r="I19" s="200" t="s">
        <v>213</v>
      </c>
      <c r="J19" s="195"/>
    </row>
    <row r="20" spans="1:10" s="10" customFormat="1" ht="18" customHeight="1" x14ac:dyDescent="0.25">
      <c r="A20" s="39"/>
      <c r="B20" s="237" t="s">
        <v>86</v>
      </c>
      <c r="C20" s="238" t="s">
        <v>50</v>
      </c>
      <c r="D20" s="239" t="s">
        <v>50</v>
      </c>
      <c r="E20" s="239" t="s">
        <v>50</v>
      </c>
      <c r="F20" s="239" t="s">
        <v>50</v>
      </c>
      <c r="G20" s="232">
        <v>45861</v>
      </c>
      <c r="H20" s="232">
        <v>45864</v>
      </c>
      <c r="I20" s="200" t="s">
        <v>213</v>
      </c>
      <c r="J20" s="195"/>
    </row>
    <row r="21" spans="1:10" s="10" customFormat="1" ht="17" customHeight="1" x14ac:dyDescent="0.25">
      <c r="A21" s="39"/>
      <c r="B21" s="303" t="s">
        <v>81</v>
      </c>
      <c r="C21" s="304"/>
      <c r="D21" s="304"/>
      <c r="E21" s="304"/>
      <c r="F21" s="305"/>
      <c r="G21" s="232">
        <v>45865</v>
      </c>
      <c r="H21" s="232">
        <v>45869</v>
      </c>
      <c r="I21" s="14"/>
      <c r="J21" s="195"/>
    </row>
    <row r="22" spans="1:10" ht="7.5" customHeight="1" x14ac:dyDescent="0.25">
      <c r="A22" s="14"/>
      <c r="B22" s="4"/>
      <c r="C22" s="4"/>
      <c r="D22" s="4"/>
      <c r="E22" s="4"/>
      <c r="F22" s="4"/>
      <c r="G22" s="234"/>
      <c r="H22" s="234"/>
      <c r="I22" s="14"/>
      <c r="J22" s="195"/>
    </row>
    <row r="23" spans="1:10" s="10" customFormat="1" ht="18" customHeight="1" x14ac:dyDescent="0.25">
      <c r="A23" s="39">
        <v>51</v>
      </c>
      <c r="B23" s="229" t="s">
        <v>35</v>
      </c>
      <c r="C23" s="229" t="s">
        <v>50</v>
      </c>
      <c r="D23" s="229" t="s">
        <v>50</v>
      </c>
      <c r="E23" s="229" t="s">
        <v>49</v>
      </c>
      <c r="F23" s="229" t="s">
        <v>49</v>
      </c>
      <c r="G23" s="230">
        <v>45839</v>
      </c>
      <c r="H23" s="230">
        <v>45843</v>
      </c>
      <c r="I23" s="201" t="s">
        <v>195</v>
      </c>
      <c r="J23" s="195"/>
    </row>
    <row r="24" spans="1:10" s="10" customFormat="1" ht="17" customHeight="1" x14ac:dyDescent="0.25">
      <c r="A24" s="39"/>
      <c r="B24" s="231" t="s">
        <v>196</v>
      </c>
      <c r="C24" s="220" t="s">
        <v>50</v>
      </c>
      <c r="D24" s="220" t="s">
        <v>50</v>
      </c>
      <c r="E24" s="220" t="s">
        <v>49</v>
      </c>
      <c r="F24" s="220" t="s">
        <v>49</v>
      </c>
      <c r="G24" s="221">
        <v>45844</v>
      </c>
      <c r="H24" s="228">
        <v>45855</v>
      </c>
      <c r="I24" s="200" t="s">
        <v>197</v>
      </c>
      <c r="J24" s="195">
        <f>H24-G24</f>
        <v>11</v>
      </c>
    </row>
    <row r="25" spans="1:10" s="10" customFormat="1" ht="18" customHeight="1" x14ac:dyDescent="0.25">
      <c r="A25" s="39"/>
      <c r="B25" s="222" t="s">
        <v>55</v>
      </c>
      <c r="C25" s="220" t="s">
        <v>50</v>
      </c>
      <c r="D25" s="220" t="s">
        <v>50</v>
      </c>
      <c r="E25" s="220" t="s">
        <v>49</v>
      </c>
      <c r="F25" s="220" t="s">
        <v>49</v>
      </c>
      <c r="G25" s="240">
        <v>45856</v>
      </c>
      <c r="H25" s="240">
        <v>45869</v>
      </c>
      <c r="I25" s="200" t="s">
        <v>215</v>
      </c>
      <c r="J25" s="195"/>
    </row>
    <row r="26" spans="1:10" ht="7.5" customHeight="1" x14ac:dyDescent="0.25">
      <c r="A26" s="14"/>
      <c r="B26" s="4"/>
      <c r="C26" s="4"/>
      <c r="D26" s="4"/>
      <c r="E26" s="4"/>
      <c r="F26" s="4"/>
      <c r="G26" s="234"/>
      <c r="H26" s="234"/>
      <c r="I26" s="200"/>
      <c r="J26" s="195"/>
    </row>
    <row r="27" spans="1:10" s="10" customFormat="1" ht="18" customHeight="1" x14ac:dyDescent="0.25">
      <c r="A27" s="39">
        <v>52</v>
      </c>
      <c r="B27" s="229" t="s">
        <v>35</v>
      </c>
      <c r="C27" s="229" t="s">
        <v>50</v>
      </c>
      <c r="D27" s="229" t="s">
        <v>50</v>
      </c>
      <c r="E27" s="229" t="s">
        <v>50</v>
      </c>
      <c r="F27" s="229" t="s">
        <v>192</v>
      </c>
      <c r="G27" s="230">
        <v>45839</v>
      </c>
      <c r="H27" s="230">
        <v>45841</v>
      </c>
      <c r="I27" s="201" t="s">
        <v>195</v>
      </c>
      <c r="J27" s="195"/>
    </row>
    <row r="28" spans="1:10" s="10" customFormat="1" ht="18" customHeight="1" x14ac:dyDescent="0.25">
      <c r="A28" s="39"/>
      <c r="B28" s="223" t="s">
        <v>58</v>
      </c>
      <c r="C28" s="229" t="s">
        <v>50</v>
      </c>
      <c r="D28" s="229" t="s">
        <v>50</v>
      </c>
      <c r="E28" s="229" t="s">
        <v>50</v>
      </c>
      <c r="F28" s="229" t="s">
        <v>192</v>
      </c>
      <c r="G28" s="236">
        <v>45842</v>
      </c>
      <c r="H28" s="236">
        <v>45844</v>
      </c>
      <c r="I28" s="200" t="s">
        <v>212</v>
      </c>
      <c r="J28" s="195"/>
    </row>
    <row r="29" spans="1:10" s="10" customFormat="1" ht="18" customHeight="1" x14ac:dyDescent="0.25">
      <c r="A29" s="39"/>
      <c r="B29" s="225" t="s">
        <v>86</v>
      </c>
      <c r="C29" s="226" t="s">
        <v>50</v>
      </c>
      <c r="D29" s="227" t="s">
        <v>50</v>
      </c>
      <c r="E29" s="227" t="s">
        <v>50</v>
      </c>
      <c r="F29" s="220" t="s">
        <v>192</v>
      </c>
      <c r="G29" s="221">
        <v>45845</v>
      </c>
      <c r="H29" s="221">
        <v>45857</v>
      </c>
      <c r="I29" s="200" t="s">
        <v>213</v>
      </c>
      <c r="J29" s="195"/>
    </row>
    <row r="30" spans="1:10" s="10" customFormat="1" ht="18" customHeight="1" x14ac:dyDescent="0.25">
      <c r="A30" s="39"/>
      <c r="B30" s="222" t="s">
        <v>55</v>
      </c>
      <c r="C30" s="220" t="s">
        <v>50</v>
      </c>
      <c r="D30" s="220" t="s">
        <v>50</v>
      </c>
      <c r="E30" s="220" t="s">
        <v>50</v>
      </c>
      <c r="F30" s="220" t="s">
        <v>192</v>
      </c>
      <c r="G30" s="240">
        <v>45858</v>
      </c>
      <c r="H30" s="240">
        <v>45863</v>
      </c>
      <c r="I30" s="200" t="s">
        <v>215</v>
      </c>
      <c r="J30" s="195"/>
    </row>
    <row r="31" spans="1:10" s="10" customFormat="1" ht="18" customHeight="1" x14ac:dyDescent="0.35">
      <c r="A31" s="39"/>
      <c r="B31" s="241" t="s">
        <v>79</v>
      </c>
      <c r="C31" s="242" t="s">
        <v>50</v>
      </c>
      <c r="D31" s="243" t="s">
        <v>50</v>
      </c>
      <c r="E31" s="242" t="s">
        <v>50</v>
      </c>
      <c r="F31" s="242" t="s">
        <v>192</v>
      </c>
      <c r="G31" s="221">
        <v>45864</v>
      </c>
      <c r="H31" s="221">
        <v>45865</v>
      </c>
      <c r="I31" s="200" t="s">
        <v>190</v>
      </c>
      <c r="J31" s="195"/>
    </row>
    <row r="32" spans="1:10" s="10" customFormat="1" ht="18" customHeight="1" x14ac:dyDescent="0.35">
      <c r="A32" s="39"/>
      <c r="B32" s="244" t="s">
        <v>79</v>
      </c>
      <c r="C32" s="245" t="s">
        <v>50</v>
      </c>
      <c r="D32" s="246" t="s">
        <v>50</v>
      </c>
      <c r="E32" s="245" t="s">
        <v>50</v>
      </c>
      <c r="F32" s="245" t="s">
        <v>50</v>
      </c>
      <c r="G32" s="232">
        <v>45866</v>
      </c>
      <c r="H32" s="232">
        <v>45869</v>
      </c>
      <c r="I32" s="200" t="s">
        <v>190</v>
      </c>
      <c r="J32" s="195"/>
    </row>
    <row r="33" spans="1:10" ht="7.5" customHeight="1" x14ac:dyDescent="0.25">
      <c r="A33" s="4"/>
      <c r="B33" s="4"/>
      <c r="C33" s="4"/>
      <c r="D33" s="4"/>
      <c r="E33" s="4"/>
      <c r="F33" s="4"/>
      <c r="G33" s="234"/>
      <c r="H33" s="234"/>
      <c r="I33" s="14"/>
      <c r="J33" s="195"/>
    </row>
    <row r="34" spans="1:10" s="10" customFormat="1" ht="18" customHeight="1" x14ac:dyDescent="0.35">
      <c r="A34" s="39">
        <v>53</v>
      </c>
      <c r="B34" s="247" t="s">
        <v>72</v>
      </c>
      <c r="C34" s="220" t="s">
        <v>50</v>
      </c>
      <c r="D34" s="220" t="s">
        <v>50</v>
      </c>
      <c r="E34" s="220" t="s">
        <v>49</v>
      </c>
      <c r="F34" s="220" t="s">
        <v>49</v>
      </c>
      <c r="G34" s="221">
        <v>45839</v>
      </c>
      <c r="H34" s="221">
        <v>45841</v>
      </c>
      <c r="I34" s="200" t="s">
        <v>193</v>
      </c>
      <c r="J34" s="195"/>
    </row>
    <row r="35" spans="1:10" s="10" customFormat="1" ht="18" customHeight="1" x14ac:dyDescent="0.35">
      <c r="A35" s="39"/>
      <c r="B35" s="247" t="s">
        <v>72</v>
      </c>
      <c r="C35" s="222" t="s">
        <v>50</v>
      </c>
      <c r="D35" s="222" t="s">
        <v>50</v>
      </c>
      <c r="E35" s="222" t="s">
        <v>49</v>
      </c>
      <c r="F35" s="222" t="s">
        <v>192</v>
      </c>
      <c r="G35" s="232">
        <v>45842</v>
      </c>
      <c r="H35" s="232">
        <v>45843</v>
      </c>
      <c r="I35" s="200" t="s">
        <v>193</v>
      </c>
      <c r="J35" s="195"/>
    </row>
    <row r="36" spans="1:10" s="10" customFormat="1" ht="18" customHeight="1" x14ac:dyDescent="0.35">
      <c r="A36" s="39"/>
      <c r="B36" s="247" t="s">
        <v>72</v>
      </c>
      <c r="C36" s="222" t="s">
        <v>50</v>
      </c>
      <c r="D36" s="222" t="s">
        <v>50</v>
      </c>
      <c r="E36" s="222" t="s">
        <v>50</v>
      </c>
      <c r="F36" s="222" t="s">
        <v>50</v>
      </c>
      <c r="G36" s="232">
        <v>45844</v>
      </c>
      <c r="H36" s="233">
        <v>45846</v>
      </c>
      <c r="I36" s="200" t="s">
        <v>193</v>
      </c>
      <c r="J36" s="195"/>
    </row>
    <row r="37" spans="1:10" s="10" customFormat="1" ht="18" customHeight="1" x14ac:dyDescent="0.25">
      <c r="A37" s="39"/>
      <c r="B37" s="222" t="s">
        <v>34</v>
      </c>
      <c r="C37" s="220" t="s">
        <v>50</v>
      </c>
      <c r="D37" s="220" t="s">
        <v>50</v>
      </c>
      <c r="E37" s="220" t="s">
        <v>50</v>
      </c>
      <c r="F37" s="220" t="s">
        <v>50</v>
      </c>
      <c r="G37" s="221">
        <v>45847</v>
      </c>
      <c r="H37" s="228">
        <v>45851</v>
      </c>
      <c r="I37" s="200" t="s">
        <v>198</v>
      </c>
      <c r="J37" s="195"/>
    </row>
    <row r="38" spans="1:10" s="10" customFormat="1" ht="18" customHeight="1" x14ac:dyDescent="0.25">
      <c r="A38" s="39"/>
      <c r="B38" s="303" t="s">
        <v>194</v>
      </c>
      <c r="C38" s="304"/>
      <c r="D38" s="304"/>
      <c r="E38" s="304"/>
      <c r="F38" s="305"/>
      <c r="G38" s="221">
        <v>45852</v>
      </c>
      <c r="H38" s="228">
        <v>45857</v>
      </c>
      <c r="I38" s="200"/>
      <c r="J38" s="195"/>
    </row>
    <row r="39" spans="1:10" s="10" customFormat="1" ht="18" customHeight="1" x14ac:dyDescent="0.25">
      <c r="A39" s="39"/>
      <c r="B39" s="303" t="s">
        <v>81</v>
      </c>
      <c r="C39" s="304"/>
      <c r="D39" s="304"/>
      <c r="E39" s="304"/>
      <c r="F39" s="305"/>
      <c r="G39" s="232">
        <v>45858</v>
      </c>
      <c r="H39" s="233">
        <v>45869</v>
      </c>
      <c r="I39" s="200"/>
      <c r="J39" s="195"/>
    </row>
    <row r="40" spans="1:10" ht="7.5" customHeight="1" x14ac:dyDescent="0.25">
      <c r="A40" s="14"/>
      <c r="B40" s="4"/>
      <c r="C40" s="4"/>
      <c r="D40" s="4"/>
      <c r="E40" s="4"/>
      <c r="F40" s="4"/>
      <c r="G40" s="232"/>
      <c r="H40" s="233"/>
      <c r="I40" s="200"/>
      <c r="J40" s="195"/>
    </row>
    <row r="41" spans="1:10" s="10" customFormat="1" ht="15.5" customHeight="1" x14ac:dyDescent="0.25">
      <c r="A41" s="39">
        <v>54</v>
      </c>
      <c r="B41" s="222" t="s">
        <v>79</v>
      </c>
      <c r="C41" s="220" t="s">
        <v>51</v>
      </c>
      <c r="D41" s="220" t="s">
        <v>51</v>
      </c>
      <c r="E41" s="220" t="s">
        <v>53</v>
      </c>
      <c r="F41" s="220" t="s">
        <v>53</v>
      </c>
      <c r="G41" s="221">
        <v>45839</v>
      </c>
      <c r="H41" s="221">
        <v>45839</v>
      </c>
      <c r="I41" s="200" t="s">
        <v>216</v>
      </c>
      <c r="J41" s="195"/>
    </row>
    <row r="42" spans="1:10" s="10" customFormat="1" ht="18" customHeight="1" x14ac:dyDescent="0.25">
      <c r="A42" s="39"/>
      <c r="B42" s="225" t="s">
        <v>86</v>
      </c>
      <c r="C42" s="226" t="s">
        <v>51</v>
      </c>
      <c r="D42" s="227" t="s">
        <v>51</v>
      </c>
      <c r="E42" s="227" t="s">
        <v>53</v>
      </c>
      <c r="F42" s="220" t="s">
        <v>53</v>
      </c>
      <c r="G42" s="221">
        <v>45840</v>
      </c>
      <c r="H42" s="228">
        <v>45856</v>
      </c>
      <c r="I42" s="200" t="s">
        <v>213</v>
      </c>
      <c r="J42" s="195"/>
    </row>
    <row r="43" spans="1:10" s="10" customFormat="1" ht="18" customHeight="1" x14ac:dyDescent="0.25">
      <c r="A43" s="39"/>
      <c r="B43" s="222" t="s">
        <v>55</v>
      </c>
      <c r="C43" s="220" t="s">
        <v>51</v>
      </c>
      <c r="D43" s="220" t="s">
        <v>51</v>
      </c>
      <c r="E43" s="220" t="s">
        <v>53</v>
      </c>
      <c r="F43" s="220" t="s">
        <v>53</v>
      </c>
      <c r="G43" s="240">
        <v>45857</v>
      </c>
      <c r="H43" s="248">
        <v>45866</v>
      </c>
      <c r="I43" s="200" t="s">
        <v>215</v>
      </c>
      <c r="J43" s="195"/>
    </row>
    <row r="44" spans="1:10" s="10" customFormat="1" ht="18" customHeight="1" x14ac:dyDescent="0.25">
      <c r="A44" s="39"/>
      <c r="B44" s="220" t="s">
        <v>55</v>
      </c>
      <c r="C44" s="222" t="s">
        <v>53</v>
      </c>
      <c r="D44" s="222" t="s">
        <v>53</v>
      </c>
      <c r="E44" s="222" t="s">
        <v>53</v>
      </c>
      <c r="F44" s="222" t="s">
        <v>53</v>
      </c>
      <c r="G44" s="249">
        <v>45867</v>
      </c>
      <c r="H44" s="250">
        <v>45869</v>
      </c>
      <c r="I44" s="200" t="s">
        <v>215</v>
      </c>
      <c r="J44" s="195"/>
    </row>
    <row r="45" spans="1:10" ht="7.5" customHeight="1" x14ac:dyDescent="0.25">
      <c r="A45" s="4"/>
      <c r="B45" s="220"/>
      <c r="C45" s="220"/>
      <c r="D45" s="220"/>
      <c r="E45" s="220"/>
      <c r="F45" s="220"/>
      <c r="G45" s="221"/>
      <c r="H45" s="228"/>
      <c r="I45" s="14"/>
      <c r="J45" s="195"/>
    </row>
    <row r="46" spans="1:10" s="10" customFormat="1" ht="18" customHeight="1" x14ac:dyDescent="0.25">
      <c r="A46" s="39">
        <v>55</v>
      </c>
      <c r="B46" s="222" t="s">
        <v>106</v>
      </c>
      <c r="C46" s="220" t="s">
        <v>50</v>
      </c>
      <c r="D46" s="220" t="s">
        <v>50</v>
      </c>
      <c r="E46" s="220" t="s">
        <v>50</v>
      </c>
      <c r="F46" s="220" t="s">
        <v>50</v>
      </c>
      <c r="G46" s="221">
        <v>45839</v>
      </c>
      <c r="H46" s="228">
        <v>45846</v>
      </c>
      <c r="I46" s="200" t="s">
        <v>191</v>
      </c>
      <c r="J46" s="195"/>
    </row>
    <row r="47" spans="1:10" s="10" customFormat="1" ht="18" customHeight="1" x14ac:dyDescent="0.25">
      <c r="A47" s="39"/>
      <c r="B47" s="223" t="s">
        <v>35</v>
      </c>
      <c r="C47" s="229" t="s">
        <v>50</v>
      </c>
      <c r="D47" s="229" t="s">
        <v>50</v>
      </c>
      <c r="E47" s="229" t="s">
        <v>50</v>
      </c>
      <c r="F47" s="229" t="s">
        <v>50</v>
      </c>
      <c r="G47" s="230">
        <v>45847</v>
      </c>
      <c r="H47" s="230">
        <v>45853</v>
      </c>
      <c r="I47" s="201" t="s">
        <v>195</v>
      </c>
      <c r="J47" s="195"/>
    </row>
    <row r="48" spans="1:10" s="10" customFormat="1" ht="18" customHeight="1" x14ac:dyDescent="0.25">
      <c r="A48" s="39"/>
      <c r="B48" s="229" t="s">
        <v>35</v>
      </c>
      <c r="C48" s="223" t="s">
        <v>50</v>
      </c>
      <c r="D48" s="223" t="s">
        <v>50</v>
      </c>
      <c r="E48" s="223" t="s">
        <v>50</v>
      </c>
      <c r="F48" s="223" t="s">
        <v>192</v>
      </c>
      <c r="G48" s="251">
        <v>45854</v>
      </c>
      <c r="H48" s="251">
        <v>45866</v>
      </c>
      <c r="I48" s="201" t="s">
        <v>195</v>
      </c>
      <c r="J48" s="195"/>
    </row>
    <row r="49" spans="1:10" s="10" customFormat="1" ht="18" customHeight="1" x14ac:dyDescent="0.25">
      <c r="A49" s="39"/>
      <c r="B49" s="303" t="s">
        <v>81</v>
      </c>
      <c r="C49" s="304"/>
      <c r="D49" s="304"/>
      <c r="E49" s="304"/>
      <c r="F49" s="305"/>
      <c r="G49" s="232">
        <v>45867</v>
      </c>
      <c r="H49" s="233">
        <v>45869</v>
      </c>
      <c r="I49" s="203"/>
      <c r="J49" s="195"/>
    </row>
    <row r="50" spans="1:10" ht="7.5" customHeight="1" x14ac:dyDescent="0.25">
      <c r="A50" s="14"/>
      <c r="B50" s="220"/>
      <c r="C50" s="220"/>
      <c r="D50" s="220"/>
      <c r="E50" s="220"/>
      <c r="F50" s="220"/>
      <c r="G50" s="221"/>
      <c r="H50" s="228"/>
      <c r="I50" s="14"/>
      <c r="J50" s="195"/>
    </row>
    <row r="51" spans="1:10" s="10" customFormat="1" ht="18" customHeight="1" x14ac:dyDescent="0.25">
      <c r="A51" s="39">
        <v>56</v>
      </c>
      <c r="B51" s="252" t="s">
        <v>36</v>
      </c>
      <c r="C51" s="253" t="s">
        <v>49</v>
      </c>
      <c r="D51" s="253" t="s">
        <v>49</v>
      </c>
      <c r="E51" s="253" t="s">
        <v>49</v>
      </c>
      <c r="F51" s="253" t="s">
        <v>49</v>
      </c>
      <c r="G51" s="254">
        <v>45839</v>
      </c>
      <c r="H51" s="254">
        <v>45841</v>
      </c>
      <c r="I51" s="199" t="s">
        <v>217</v>
      </c>
      <c r="J51" s="195"/>
    </row>
    <row r="52" spans="1:10" s="10" customFormat="1" ht="18" customHeight="1" x14ac:dyDescent="0.25">
      <c r="A52" s="39"/>
      <c r="B52" s="225" t="s">
        <v>86</v>
      </c>
      <c r="C52" s="226" t="s">
        <v>49</v>
      </c>
      <c r="D52" s="227" t="s">
        <v>49</v>
      </c>
      <c r="E52" s="227" t="s">
        <v>49</v>
      </c>
      <c r="F52" s="220" t="s">
        <v>49</v>
      </c>
      <c r="G52" s="221">
        <v>45842</v>
      </c>
      <c r="H52" s="228">
        <v>45858</v>
      </c>
      <c r="I52" s="200" t="s">
        <v>213</v>
      </c>
      <c r="J52" s="195"/>
    </row>
    <row r="53" spans="1:10" s="10" customFormat="1" ht="18" customHeight="1" x14ac:dyDescent="0.35">
      <c r="A53" s="39"/>
      <c r="B53" s="241" t="s">
        <v>79</v>
      </c>
      <c r="C53" s="242" t="s">
        <v>49</v>
      </c>
      <c r="D53" s="243" t="s">
        <v>49</v>
      </c>
      <c r="E53" s="242" t="s">
        <v>49</v>
      </c>
      <c r="F53" s="242" t="s">
        <v>49</v>
      </c>
      <c r="G53" s="221">
        <v>45859</v>
      </c>
      <c r="H53" s="221">
        <v>45869</v>
      </c>
      <c r="I53" s="200" t="s">
        <v>216</v>
      </c>
      <c r="J53" s="195"/>
    </row>
    <row r="54" spans="1:10" ht="7.5" customHeight="1" x14ac:dyDescent="0.25">
      <c r="A54" s="4"/>
      <c r="B54" s="220"/>
      <c r="C54" s="220"/>
      <c r="D54" s="220"/>
      <c r="E54" s="220"/>
      <c r="F54" s="220"/>
      <c r="G54" s="221"/>
      <c r="H54" s="228"/>
      <c r="I54" s="200"/>
      <c r="J54" s="195"/>
    </row>
    <row r="55" spans="1:10" s="10" customFormat="1" ht="18" customHeight="1" x14ac:dyDescent="0.25">
      <c r="A55" s="39">
        <v>57</v>
      </c>
      <c r="B55" s="237" t="s">
        <v>86</v>
      </c>
      <c r="C55" s="226" t="s">
        <v>49</v>
      </c>
      <c r="D55" s="227" t="s">
        <v>49</v>
      </c>
      <c r="E55" s="227" t="s">
        <v>49</v>
      </c>
      <c r="F55" s="220" t="s">
        <v>49</v>
      </c>
      <c r="G55" s="221">
        <v>45839</v>
      </c>
      <c r="H55" s="228">
        <v>45859</v>
      </c>
      <c r="I55" s="200" t="s">
        <v>213</v>
      </c>
      <c r="J55" s="195"/>
    </row>
    <row r="56" spans="1:10" s="10" customFormat="1" ht="18" customHeight="1" x14ac:dyDescent="0.25">
      <c r="A56" s="47"/>
      <c r="B56" s="303" t="s">
        <v>81</v>
      </c>
      <c r="C56" s="304"/>
      <c r="D56" s="304"/>
      <c r="E56" s="304"/>
      <c r="F56" s="305"/>
      <c r="G56" s="232">
        <v>45860</v>
      </c>
      <c r="H56" s="233">
        <v>45869</v>
      </c>
      <c r="I56" s="200"/>
      <c r="J56" s="195"/>
    </row>
    <row r="57" spans="1:10" ht="7.5" customHeight="1" x14ac:dyDescent="0.25">
      <c r="A57" s="4"/>
      <c r="B57" s="220"/>
      <c r="C57" s="220"/>
      <c r="D57" s="220"/>
      <c r="E57" s="220"/>
      <c r="F57" s="220"/>
      <c r="G57" s="221"/>
      <c r="H57" s="228"/>
      <c r="I57" s="200"/>
      <c r="J57" s="195"/>
    </row>
    <row r="58" spans="1:10" ht="18" customHeight="1" x14ac:dyDescent="0.35">
      <c r="A58" s="47">
        <v>58</v>
      </c>
      <c r="B58" s="244" t="s">
        <v>79</v>
      </c>
      <c r="C58" s="242" t="s">
        <v>50</v>
      </c>
      <c r="D58" s="243" t="s">
        <v>50</v>
      </c>
      <c r="E58" s="242" t="s">
        <v>50</v>
      </c>
      <c r="F58" s="242" t="s">
        <v>50</v>
      </c>
      <c r="G58" s="221">
        <v>45839</v>
      </c>
      <c r="H58" s="228">
        <v>45842</v>
      </c>
      <c r="I58" s="200" t="s">
        <v>216</v>
      </c>
      <c r="J58" s="195"/>
    </row>
    <row r="59" spans="1:10" s="10" customFormat="1" ht="18" customHeight="1" x14ac:dyDescent="0.25">
      <c r="A59" s="47"/>
      <c r="B59" s="225" t="s">
        <v>86</v>
      </c>
      <c r="C59" s="226" t="s">
        <v>50</v>
      </c>
      <c r="D59" s="227" t="s">
        <v>50</v>
      </c>
      <c r="E59" s="227" t="s">
        <v>50</v>
      </c>
      <c r="F59" s="220" t="s">
        <v>50</v>
      </c>
      <c r="G59" s="221">
        <v>45843</v>
      </c>
      <c r="H59" s="228">
        <v>45858</v>
      </c>
      <c r="I59" s="200" t="s">
        <v>213</v>
      </c>
      <c r="J59" s="195"/>
    </row>
    <row r="60" spans="1:10" s="10" customFormat="1" ht="18" customHeight="1" x14ac:dyDescent="0.25">
      <c r="A60" s="47"/>
      <c r="B60" s="303" t="s">
        <v>81</v>
      </c>
      <c r="C60" s="304"/>
      <c r="D60" s="304"/>
      <c r="E60" s="304"/>
      <c r="F60" s="305"/>
      <c r="G60" s="232">
        <v>45859</v>
      </c>
      <c r="H60" s="233">
        <v>45869</v>
      </c>
      <c r="I60" s="14"/>
      <c r="J60" s="195"/>
    </row>
    <row r="61" spans="1:10" ht="7.5" customHeight="1" x14ac:dyDescent="0.25">
      <c r="A61" s="4"/>
      <c r="B61" s="255"/>
      <c r="C61" s="255"/>
      <c r="D61" s="255"/>
      <c r="E61" s="255"/>
      <c r="F61" s="255"/>
      <c r="G61" s="221"/>
      <c r="H61" s="228"/>
      <c r="I61" s="14"/>
      <c r="J61" s="195"/>
    </row>
    <row r="62" spans="1:10" s="10" customFormat="1" ht="15.5" customHeight="1" x14ac:dyDescent="0.25">
      <c r="A62" s="47">
        <v>59</v>
      </c>
      <c r="B62" s="220" t="s">
        <v>79</v>
      </c>
      <c r="C62" s="220" t="s">
        <v>49</v>
      </c>
      <c r="D62" s="220" t="s">
        <v>49</v>
      </c>
      <c r="E62" s="220" t="s">
        <v>49</v>
      </c>
      <c r="F62" s="220" t="s">
        <v>49</v>
      </c>
      <c r="G62" s="221">
        <v>45839</v>
      </c>
      <c r="H62" s="228">
        <v>45839</v>
      </c>
      <c r="I62" s="200" t="s">
        <v>216</v>
      </c>
      <c r="J62" s="195"/>
    </row>
    <row r="63" spans="1:10" s="10" customFormat="1" ht="18" customHeight="1" x14ac:dyDescent="0.25">
      <c r="A63" s="47"/>
      <c r="B63" s="303" t="s">
        <v>194</v>
      </c>
      <c r="C63" s="304"/>
      <c r="D63" s="304"/>
      <c r="E63" s="304"/>
      <c r="F63" s="305"/>
      <c r="G63" s="221">
        <v>45840</v>
      </c>
      <c r="H63" s="228">
        <v>45845</v>
      </c>
      <c r="I63" s="14"/>
      <c r="J63" s="195"/>
    </row>
    <row r="64" spans="1:10" s="10" customFormat="1" ht="18" customHeight="1" x14ac:dyDescent="0.25">
      <c r="A64" s="47"/>
      <c r="B64" s="222" t="s">
        <v>34</v>
      </c>
      <c r="C64" s="220" t="s">
        <v>49</v>
      </c>
      <c r="D64" s="220" t="s">
        <v>49</v>
      </c>
      <c r="E64" s="220" t="s">
        <v>49</v>
      </c>
      <c r="F64" s="220" t="s">
        <v>49</v>
      </c>
      <c r="G64" s="221">
        <v>45846</v>
      </c>
      <c r="H64" s="228">
        <v>45850</v>
      </c>
      <c r="I64" s="200" t="s">
        <v>198</v>
      </c>
      <c r="J64" s="195"/>
    </row>
    <row r="65" spans="1:10" s="10" customFormat="1" ht="18" customHeight="1" x14ac:dyDescent="0.25">
      <c r="A65" s="47"/>
      <c r="B65" s="225" t="s">
        <v>86</v>
      </c>
      <c r="C65" s="226" t="s">
        <v>49</v>
      </c>
      <c r="D65" s="227" t="s">
        <v>49</v>
      </c>
      <c r="E65" s="227" t="s">
        <v>49</v>
      </c>
      <c r="F65" s="220" t="s">
        <v>49</v>
      </c>
      <c r="G65" s="221">
        <v>45851</v>
      </c>
      <c r="H65" s="228">
        <v>45859</v>
      </c>
      <c r="I65" s="200" t="s">
        <v>213</v>
      </c>
      <c r="J65" s="195"/>
    </row>
    <row r="66" spans="1:10" s="10" customFormat="1" ht="18" customHeight="1" x14ac:dyDescent="0.25">
      <c r="A66" s="47"/>
      <c r="B66" s="222" t="s">
        <v>55</v>
      </c>
      <c r="C66" s="220" t="s">
        <v>49</v>
      </c>
      <c r="D66" s="220" t="s">
        <v>49</v>
      </c>
      <c r="E66" s="220" t="s">
        <v>49</v>
      </c>
      <c r="F66" s="220" t="s">
        <v>49</v>
      </c>
      <c r="G66" s="240">
        <v>45860</v>
      </c>
      <c r="H66" s="248">
        <v>45869</v>
      </c>
      <c r="I66" s="200" t="s">
        <v>215</v>
      </c>
      <c r="J66" s="195"/>
    </row>
    <row r="67" spans="1:10" ht="7.5" customHeight="1" x14ac:dyDescent="0.25">
      <c r="A67" s="4"/>
      <c r="B67" s="255"/>
      <c r="C67" s="255"/>
      <c r="D67" s="255"/>
      <c r="E67" s="255"/>
      <c r="F67" s="255"/>
      <c r="G67" s="221"/>
      <c r="H67" s="228"/>
      <c r="I67" s="200"/>
      <c r="J67" s="195"/>
    </row>
    <row r="68" spans="1:10" s="10" customFormat="1" ht="18" customHeight="1" x14ac:dyDescent="0.25">
      <c r="A68" s="47">
        <v>60</v>
      </c>
      <c r="B68" s="220" t="s">
        <v>106</v>
      </c>
      <c r="C68" s="220" t="s">
        <v>49</v>
      </c>
      <c r="D68" s="220" t="s">
        <v>49</v>
      </c>
      <c r="E68" s="220" t="s">
        <v>49</v>
      </c>
      <c r="F68" s="220" t="s">
        <v>49</v>
      </c>
      <c r="G68" s="221">
        <v>45839</v>
      </c>
      <c r="H68" s="228">
        <v>45842</v>
      </c>
      <c r="I68" s="200" t="s">
        <v>191</v>
      </c>
      <c r="J68" s="195"/>
    </row>
    <row r="69" spans="1:10" s="10" customFormat="1" ht="18" customHeight="1" x14ac:dyDescent="0.25">
      <c r="A69" s="47"/>
      <c r="B69" s="303" t="s">
        <v>43</v>
      </c>
      <c r="C69" s="304"/>
      <c r="D69" s="304"/>
      <c r="E69" s="304"/>
      <c r="F69" s="305"/>
      <c r="G69" s="232">
        <v>45843</v>
      </c>
      <c r="H69" s="233">
        <v>45853</v>
      </c>
      <c r="I69" s="14"/>
      <c r="J69" s="195"/>
    </row>
    <row r="70" spans="1:10" s="10" customFormat="1" ht="18" customHeight="1" x14ac:dyDescent="0.25">
      <c r="A70" s="47"/>
      <c r="B70" s="303" t="s">
        <v>194</v>
      </c>
      <c r="C70" s="304"/>
      <c r="D70" s="304"/>
      <c r="E70" s="304"/>
      <c r="F70" s="305"/>
      <c r="G70" s="221">
        <v>45854</v>
      </c>
      <c r="H70" s="228">
        <v>45858</v>
      </c>
      <c r="I70" s="14"/>
      <c r="J70" s="195"/>
    </row>
    <row r="71" spans="1:10" s="10" customFormat="1" ht="18" customHeight="1" x14ac:dyDescent="0.25">
      <c r="A71" s="47"/>
      <c r="B71" s="222" t="s">
        <v>55</v>
      </c>
      <c r="C71" s="220" t="s">
        <v>49</v>
      </c>
      <c r="D71" s="220" t="s">
        <v>49</v>
      </c>
      <c r="E71" s="220" t="s">
        <v>49</v>
      </c>
      <c r="F71" s="220" t="s">
        <v>49</v>
      </c>
      <c r="G71" s="240">
        <v>45859</v>
      </c>
      <c r="H71" s="248">
        <v>45869</v>
      </c>
      <c r="I71" s="200" t="s">
        <v>215</v>
      </c>
      <c r="J71" s="195"/>
    </row>
    <row r="72" spans="1:10" s="10" customFormat="1" ht="18" customHeight="1" x14ac:dyDescent="0.25">
      <c r="A72" s="92"/>
      <c r="B72" s="43"/>
      <c r="C72" s="43"/>
      <c r="D72" s="43"/>
      <c r="E72" s="43"/>
      <c r="F72" s="43"/>
      <c r="G72" s="256"/>
      <c r="H72" s="256"/>
      <c r="I72" s="204"/>
      <c r="J72" s="40"/>
    </row>
    <row r="73" spans="1:10" s="10" customFormat="1" ht="18" customHeight="1" x14ac:dyDescent="0.25">
      <c r="A73" s="92"/>
      <c r="B73" s="43"/>
      <c r="C73" s="43"/>
      <c r="D73" s="43"/>
      <c r="E73" s="43"/>
      <c r="F73" s="43"/>
      <c r="G73" s="256"/>
      <c r="H73" s="256"/>
      <c r="I73" s="204"/>
      <c r="J73" s="40"/>
    </row>
    <row r="74" spans="1:10" s="10" customFormat="1" ht="17.5" customHeight="1" x14ac:dyDescent="0.25">
      <c r="A74" s="5" t="s">
        <v>202</v>
      </c>
      <c r="B74" s="11"/>
      <c r="C74" s="6"/>
      <c r="D74" s="6"/>
      <c r="E74" s="6"/>
      <c r="F74" s="6"/>
      <c r="G74" s="214"/>
      <c r="H74" s="214"/>
      <c r="I74" s="8"/>
      <c r="J74" s="196"/>
    </row>
    <row r="75" spans="1:10" ht="17.5" customHeight="1" x14ac:dyDescent="0.25">
      <c r="A75" s="6"/>
      <c r="B75" s="11"/>
      <c r="C75" s="215" t="s">
        <v>16</v>
      </c>
      <c r="D75" s="216"/>
      <c r="E75" s="216"/>
      <c r="F75" s="217"/>
      <c r="G75" s="298" t="s">
        <v>1</v>
      </c>
      <c r="H75" s="299"/>
      <c r="J75" s="196"/>
    </row>
    <row r="76" spans="1:10" s="12" customFormat="1" ht="17.5" customHeight="1" x14ac:dyDescent="0.25">
      <c r="A76" s="14" t="s">
        <v>0</v>
      </c>
      <c r="B76" s="14" t="s">
        <v>8</v>
      </c>
      <c r="C76" s="14" t="s">
        <v>10</v>
      </c>
      <c r="D76" s="14" t="s">
        <v>9</v>
      </c>
      <c r="E76" s="14" t="s">
        <v>12</v>
      </c>
      <c r="F76" s="14" t="s">
        <v>11</v>
      </c>
      <c r="G76" s="219" t="s">
        <v>13</v>
      </c>
      <c r="H76" s="218" t="s">
        <v>14</v>
      </c>
      <c r="I76" s="14" t="s">
        <v>46</v>
      </c>
      <c r="J76" s="130" t="s">
        <v>74</v>
      </c>
    </row>
    <row r="77" spans="1:10" s="12" customFormat="1" ht="17.5" customHeight="1" x14ac:dyDescent="0.25">
      <c r="A77" s="47">
        <v>61</v>
      </c>
      <c r="B77" s="223" t="s">
        <v>58</v>
      </c>
      <c r="C77" s="229" t="s">
        <v>53</v>
      </c>
      <c r="D77" s="229" t="s">
        <v>53</v>
      </c>
      <c r="E77" s="229" t="s">
        <v>53</v>
      </c>
      <c r="F77" s="229" t="s">
        <v>53</v>
      </c>
      <c r="G77" s="236">
        <v>45839</v>
      </c>
      <c r="H77" s="236">
        <v>45845</v>
      </c>
      <c r="I77" s="200" t="s">
        <v>218</v>
      </c>
      <c r="J77" s="195"/>
    </row>
    <row r="78" spans="1:10" s="12" customFormat="1" ht="17.5" customHeight="1" x14ac:dyDescent="0.25">
      <c r="A78" s="47"/>
      <c r="B78" s="229" t="s">
        <v>58</v>
      </c>
      <c r="C78" s="223" t="s">
        <v>203</v>
      </c>
      <c r="D78" s="223" t="s">
        <v>53</v>
      </c>
      <c r="E78" s="223" t="s">
        <v>53</v>
      </c>
      <c r="F78" s="223" t="s">
        <v>53</v>
      </c>
      <c r="G78" s="224">
        <v>45846</v>
      </c>
      <c r="H78" s="224">
        <v>45846</v>
      </c>
      <c r="I78" s="200" t="s">
        <v>218</v>
      </c>
      <c r="J78" s="195"/>
    </row>
    <row r="79" spans="1:10" s="12" customFormat="1" ht="17.5" customHeight="1" x14ac:dyDescent="0.25">
      <c r="A79" s="47"/>
      <c r="B79" s="223" t="s">
        <v>36</v>
      </c>
      <c r="C79" s="229" t="s">
        <v>203</v>
      </c>
      <c r="D79" s="229" t="s">
        <v>53</v>
      </c>
      <c r="E79" s="229" t="s">
        <v>53</v>
      </c>
      <c r="F79" s="229" t="s">
        <v>53</v>
      </c>
      <c r="G79" s="236">
        <v>45847</v>
      </c>
      <c r="H79" s="236">
        <v>45847</v>
      </c>
      <c r="I79" s="200" t="s">
        <v>200</v>
      </c>
      <c r="J79" s="195"/>
    </row>
    <row r="80" spans="1:10" s="12" customFormat="1" ht="17.5" customHeight="1" x14ac:dyDescent="0.25">
      <c r="A80" s="47"/>
      <c r="B80" s="225" t="s">
        <v>86</v>
      </c>
      <c r="C80" s="226" t="s">
        <v>203</v>
      </c>
      <c r="D80" s="227" t="s">
        <v>53</v>
      </c>
      <c r="E80" s="227" t="s">
        <v>53</v>
      </c>
      <c r="F80" s="220" t="s">
        <v>53</v>
      </c>
      <c r="G80" s="221">
        <v>45848</v>
      </c>
      <c r="H80" s="221">
        <v>45852</v>
      </c>
      <c r="I80" s="200" t="s">
        <v>200</v>
      </c>
      <c r="J80" s="195"/>
    </row>
    <row r="81" spans="1:10" s="12" customFormat="1" ht="17.5" customHeight="1" x14ac:dyDescent="0.35">
      <c r="A81" s="47"/>
      <c r="B81" s="257" t="s">
        <v>204</v>
      </c>
      <c r="C81" s="220" t="s">
        <v>203</v>
      </c>
      <c r="D81" s="220" t="s">
        <v>53</v>
      </c>
      <c r="E81" s="220" t="s">
        <v>53</v>
      </c>
      <c r="F81" s="220" t="s">
        <v>53</v>
      </c>
      <c r="G81" s="221">
        <v>45853</v>
      </c>
      <c r="H81" s="221">
        <v>45853</v>
      </c>
      <c r="I81" s="206" t="s">
        <v>219</v>
      </c>
      <c r="J81" s="195"/>
    </row>
    <row r="82" spans="1:10" s="12" customFormat="1" ht="17.5" customHeight="1" x14ac:dyDescent="0.35">
      <c r="A82" s="47"/>
      <c r="B82" s="258" t="s">
        <v>204</v>
      </c>
      <c r="C82" s="222" t="s">
        <v>51</v>
      </c>
      <c r="D82" s="222" t="s">
        <v>53</v>
      </c>
      <c r="E82" s="222" t="s">
        <v>53</v>
      </c>
      <c r="F82" s="222" t="s">
        <v>53</v>
      </c>
      <c r="G82" s="232">
        <v>45854</v>
      </c>
      <c r="H82" s="232">
        <v>45860</v>
      </c>
      <c r="I82" s="206" t="s">
        <v>219</v>
      </c>
      <c r="J82" s="195"/>
    </row>
    <row r="83" spans="1:10" s="12" customFormat="1" ht="17.5" customHeight="1" x14ac:dyDescent="0.25">
      <c r="A83" s="47"/>
      <c r="B83" s="223" t="s">
        <v>36</v>
      </c>
      <c r="C83" s="223" t="s">
        <v>51</v>
      </c>
      <c r="D83" s="223" t="s">
        <v>53</v>
      </c>
      <c r="E83" s="223" t="s">
        <v>53</v>
      </c>
      <c r="F83" s="223" t="s">
        <v>53</v>
      </c>
      <c r="G83" s="224">
        <v>45861</v>
      </c>
      <c r="H83" s="224">
        <v>45862</v>
      </c>
      <c r="I83" s="200" t="s">
        <v>200</v>
      </c>
      <c r="J83" s="195"/>
    </row>
    <row r="84" spans="1:10" s="12" customFormat="1" ht="17.5" customHeight="1" x14ac:dyDescent="0.25">
      <c r="A84" s="47"/>
      <c r="B84" s="303" t="s">
        <v>81</v>
      </c>
      <c r="C84" s="304"/>
      <c r="D84" s="304"/>
      <c r="E84" s="304"/>
      <c r="F84" s="305"/>
      <c r="G84" s="232">
        <v>45863</v>
      </c>
      <c r="H84" s="232">
        <v>45865</v>
      </c>
      <c r="I84" s="14"/>
      <c r="J84" s="195"/>
    </row>
    <row r="85" spans="1:10" s="12" customFormat="1" ht="17.5" customHeight="1" x14ac:dyDescent="0.35">
      <c r="A85" s="47"/>
      <c r="B85" s="303" t="s">
        <v>205</v>
      </c>
      <c r="C85" s="304"/>
      <c r="D85" s="304"/>
      <c r="E85" s="304"/>
      <c r="F85" s="305"/>
      <c r="G85" s="221">
        <v>45866</v>
      </c>
      <c r="H85" s="221">
        <v>45869</v>
      </c>
      <c r="I85" s="207"/>
      <c r="J85" s="195"/>
    </row>
    <row r="86" spans="1:10" s="12" customFormat="1" ht="8" customHeight="1" x14ac:dyDescent="0.25">
      <c r="A86" s="197"/>
      <c r="B86" s="4"/>
      <c r="C86" s="4"/>
      <c r="D86" s="4"/>
      <c r="E86" s="4"/>
      <c r="F86" s="4"/>
      <c r="G86" s="234"/>
      <c r="H86" s="234"/>
      <c r="I86" s="14"/>
      <c r="J86" s="195"/>
    </row>
    <row r="87" spans="1:10" s="12" customFormat="1" ht="17.5" customHeight="1" x14ac:dyDescent="0.25">
      <c r="A87" s="47">
        <v>62</v>
      </c>
      <c r="B87" s="223" t="s">
        <v>58</v>
      </c>
      <c r="C87" s="229" t="s">
        <v>49</v>
      </c>
      <c r="D87" s="229" t="s">
        <v>49</v>
      </c>
      <c r="E87" s="229" t="s">
        <v>49</v>
      </c>
      <c r="F87" s="229" t="s">
        <v>49</v>
      </c>
      <c r="G87" s="236">
        <v>45839</v>
      </c>
      <c r="H87" s="236">
        <v>45844</v>
      </c>
      <c r="I87" s="200" t="s">
        <v>199</v>
      </c>
      <c r="J87" s="195"/>
    </row>
    <row r="88" spans="1:10" s="12" customFormat="1" ht="17.5" customHeight="1" x14ac:dyDescent="0.25">
      <c r="A88" s="47"/>
      <c r="B88" s="259" t="s">
        <v>80</v>
      </c>
      <c r="C88" s="260" t="s">
        <v>49</v>
      </c>
      <c r="D88" s="260" t="s">
        <v>49</v>
      </c>
      <c r="E88" s="260" t="s">
        <v>49</v>
      </c>
      <c r="F88" s="260" t="s">
        <v>49</v>
      </c>
      <c r="G88" s="261">
        <v>45845</v>
      </c>
      <c r="H88" s="261">
        <v>45853</v>
      </c>
      <c r="I88" s="200" t="s">
        <v>206</v>
      </c>
      <c r="J88" s="195"/>
    </row>
    <row r="89" spans="1:10" s="12" customFormat="1" ht="17.5" customHeight="1" x14ac:dyDescent="0.35">
      <c r="A89" s="47"/>
      <c r="B89" s="262" t="s">
        <v>204</v>
      </c>
      <c r="C89" s="263" t="s">
        <v>49</v>
      </c>
      <c r="D89" s="263" t="s">
        <v>49</v>
      </c>
      <c r="E89" s="263" t="s">
        <v>49</v>
      </c>
      <c r="F89" s="263" t="s">
        <v>49</v>
      </c>
      <c r="G89" s="264">
        <v>45854</v>
      </c>
      <c r="H89" s="264">
        <v>45858</v>
      </c>
      <c r="I89" s="206" t="s">
        <v>219</v>
      </c>
      <c r="J89" s="195"/>
    </row>
    <row r="90" spans="1:10" s="12" customFormat="1" ht="17.5" customHeight="1" x14ac:dyDescent="0.35">
      <c r="A90" s="47"/>
      <c r="B90" s="303" t="s">
        <v>205</v>
      </c>
      <c r="C90" s="304"/>
      <c r="D90" s="304"/>
      <c r="E90" s="304"/>
      <c r="F90" s="305"/>
      <c r="G90" s="221">
        <v>45859</v>
      </c>
      <c r="H90" s="221">
        <v>45864</v>
      </c>
      <c r="I90" s="207"/>
      <c r="J90" s="195"/>
    </row>
    <row r="91" spans="1:10" s="12" customFormat="1" ht="17.5" customHeight="1" x14ac:dyDescent="0.25">
      <c r="A91" s="47"/>
      <c r="B91" s="303" t="s">
        <v>81</v>
      </c>
      <c r="C91" s="304"/>
      <c r="D91" s="304"/>
      <c r="E91" s="304"/>
      <c r="F91" s="305"/>
      <c r="G91" s="232">
        <v>45865</v>
      </c>
      <c r="H91" s="232">
        <v>45869</v>
      </c>
      <c r="I91" s="14"/>
      <c r="J91" s="195"/>
    </row>
    <row r="92" spans="1:10" ht="8" customHeight="1" x14ac:dyDescent="0.25">
      <c r="A92" s="197"/>
      <c r="B92" s="11"/>
      <c r="C92" s="4"/>
      <c r="D92" s="4"/>
      <c r="E92" s="4"/>
      <c r="F92" s="4"/>
      <c r="G92" s="234"/>
      <c r="H92" s="235"/>
      <c r="I92" s="14"/>
      <c r="J92" s="195"/>
    </row>
    <row r="93" spans="1:10" ht="17.5" customHeight="1" x14ac:dyDescent="0.35">
      <c r="A93" s="47">
        <v>63</v>
      </c>
      <c r="B93" s="303" t="s">
        <v>205</v>
      </c>
      <c r="C93" s="304"/>
      <c r="D93" s="304"/>
      <c r="E93" s="304"/>
      <c r="F93" s="305"/>
      <c r="G93" s="221">
        <v>45839</v>
      </c>
      <c r="H93" s="221">
        <v>45843</v>
      </c>
      <c r="I93" s="207"/>
      <c r="J93" s="195"/>
    </row>
    <row r="94" spans="1:10" ht="17.5" customHeight="1" x14ac:dyDescent="0.25">
      <c r="A94" s="47"/>
      <c r="B94" s="222" t="s">
        <v>47</v>
      </c>
      <c r="C94" s="263" t="s">
        <v>49</v>
      </c>
      <c r="D94" s="263" t="s">
        <v>49</v>
      </c>
      <c r="E94" s="263" t="s">
        <v>49</v>
      </c>
      <c r="F94" s="263" t="s">
        <v>49</v>
      </c>
      <c r="G94" s="264">
        <v>45844</v>
      </c>
      <c r="H94" s="264">
        <v>45851</v>
      </c>
      <c r="I94" s="200" t="s">
        <v>207</v>
      </c>
      <c r="J94" s="195"/>
    </row>
    <row r="95" spans="1:10" ht="17.5" customHeight="1" x14ac:dyDescent="0.35">
      <c r="A95" s="47"/>
      <c r="B95" s="257" t="s">
        <v>204</v>
      </c>
      <c r="C95" s="263" t="s">
        <v>49</v>
      </c>
      <c r="D95" s="263" t="s">
        <v>49</v>
      </c>
      <c r="E95" s="263" t="s">
        <v>49</v>
      </c>
      <c r="F95" s="263" t="s">
        <v>49</v>
      </c>
      <c r="G95" s="264">
        <v>45852</v>
      </c>
      <c r="H95" s="264">
        <v>45860</v>
      </c>
      <c r="I95" s="206" t="s">
        <v>219</v>
      </c>
      <c r="J95" s="195"/>
    </row>
    <row r="96" spans="1:10" ht="17.5" customHeight="1" x14ac:dyDescent="0.25">
      <c r="A96" s="47"/>
      <c r="B96" s="303" t="s">
        <v>81</v>
      </c>
      <c r="C96" s="304"/>
      <c r="D96" s="304"/>
      <c r="E96" s="304"/>
      <c r="F96" s="305"/>
      <c r="G96" s="232">
        <v>45770</v>
      </c>
      <c r="H96" s="232">
        <v>45869</v>
      </c>
      <c r="I96" s="14"/>
      <c r="J96" s="195"/>
    </row>
    <row r="97" spans="1:10" ht="8" customHeight="1" x14ac:dyDescent="0.25">
      <c r="A97" s="197"/>
      <c r="B97" s="4"/>
      <c r="C97" s="4"/>
      <c r="D97" s="4"/>
      <c r="E97" s="4"/>
      <c r="F97" s="4"/>
      <c r="G97" s="234"/>
      <c r="H97" s="235"/>
      <c r="I97" s="14"/>
      <c r="J97" s="195"/>
    </row>
    <row r="98" spans="1:10" ht="17.5" customHeight="1" x14ac:dyDescent="0.25">
      <c r="A98" s="47">
        <v>64</v>
      </c>
      <c r="B98" s="259" t="s">
        <v>80</v>
      </c>
      <c r="C98" s="265" t="s">
        <v>50</v>
      </c>
      <c r="D98" s="265" t="s">
        <v>50</v>
      </c>
      <c r="E98" s="266" t="s">
        <v>50</v>
      </c>
      <c r="F98" s="266" t="s">
        <v>192</v>
      </c>
      <c r="G98" s="261">
        <v>45839</v>
      </c>
      <c r="H98" s="261">
        <v>45840</v>
      </c>
      <c r="I98" s="200" t="s">
        <v>206</v>
      </c>
      <c r="J98" s="195"/>
    </row>
    <row r="99" spans="1:10" ht="17.5" customHeight="1" x14ac:dyDescent="0.25">
      <c r="A99" s="47"/>
      <c r="B99" s="267" t="s">
        <v>80</v>
      </c>
      <c r="C99" s="268" t="s">
        <v>50</v>
      </c>
      <c r="D99" s="268" t="s">
        <v>50</v>
      </c>
      <c r="E99" s="269" t="s">
        <v>50</v>
      </c>
      <c r="F99" s="269" t="s">
        <v>50</v>
      </c>
      <c r="G99" s="270">
        <v>45841</v>
      </c>
      <c r="H99" s="270">
        <v>45845</v>
      </c>
      <c r="I99" s="200" t="s">
        <v>206</v>
      </c>
      <c r="J99" s="195"/>
    </row>
    <row r="100" spans="1:10" ht="17.5" customHeight="1" x14ac:dyDescent="0.25">
      <c r="A100" s="47"/>
      <c r="B100" s="223" t="s">
        <v>36</v>
      </c>
      <c r="C100" s="229" t="s">
        <v>50</v>
      </c>
      <c r="D100" s="229" t="s">
        <v>50</v>
      </c>
      <c r="E100" s="229" t="s">
        <v>50</v>
      </c>
      <c r="F100" s="229" t="s">
        <v>50</v>
      </c>
      <c r="G100" s="271">
        <v>45846</v>
      </c>
      <c r="H100" s="271">
        <v>45851</v>
      </c>
      <c r="I100" s="200" t="s">
        <v>200</v>
      </c>
      <c r="J100" s="195"/>
    </row>
    <row r="101" spans="1:10" ht="17.5" customHeight="1" x14ac:dyDescent="0.25">
      <c r="A101" s="47"/>
      <c r="B101" s="272" t="s">
        <v>36</v>
      </c>
      <c r="C101" s="223" t="s">
        <v>50</v>
      </c>
      <c r="D101" s="223" t="s">
        <v>50</v>
      </c>
      <c r="E101" s="223" t="s">
        <v>50</v>
      </c>
      <c r="F101" s="223" t="s">
        <v>192</v>
      </c>
      <c r="G101" s="224">
        <v>45852</v>
      </c>
      <c r="H101" s="224">
        <v>45854</v>
      </c>
      <c r="I101" s="200" t="s">
        <v>200</v>
      </c>
      <c r="J101" s="195"/>
    </row>
    <row r="102" spans="1:10" ht="17.5" customHeight="1" x14ac:dyDescent="0.35">
      <c r="A102" s="47"/>
      <c r="B102" s="257" t="s">
        <v>204</v>
      </c>
      <c r="C102" s="220" t="s">
        <v>50</v>
      </c>
      <c r="D102" s="220" t="s">
        <v>50</v>
      </c>
      <c r="E102" s="220" t="s">
        <v>50</v>
      </c>
      <c r="F102" s="220" t="s">
        <v>192</v>
      </c>
      <c r="G102" s="221">
        <v>45855</v>
      </c>
      <c r="H102" s="221">
        <v>45861</v>
      </c>
      <c r="I102" s="206" t="s">
        <v>219</v>
      </c>
      <c r="J102" s="195"/>
    </row>
    <row r="103" spans="1:10" ht="17.5" customHeight="1" x14ac:dyDescent="0.25">
      <c r="A103" s="47"/>
      <c r="B103" s="303" t="s">
        <v>81</v>
      </c>
      <c r="C103" s="304"/>
      <c r="D103" s="304"/>
      <c r="E103" s="304"/>
      <c r="F103" s="305"/>
      <c r="G103" s="232">
        <v>45862</v>
      </c>
      <c r="H103" s="232">
        <v>45869</v>
      </c>
      <c r="I103" s="14"/>
      <c r="J103" s="195"/>
    </row>
    <row r="104" spans="1:10" ht="8" customHeight="1" x14ac:dyDescent="0.25">
      <c r="A104" s="197"/>
      <c r="B104" s="4"/>
      <c r="C104" s="4"/>
      <c r="D104" s="4"/>
      <c r="E104" s="4"/>
      <c r="F104" s="4"/>
      <c r="G104" s="234"/>
      <c r="H104" s="235"/>
      <c r="I104" s="14"/>
      <c r="J104" s="195"/>
    </row>
    <row r="105" spans="1:10" ht="17.5" customHeight="1" x14ac:dyDescent="0.25">
      <c r="A105" s="47">
        <v>65</v>
      </c>
      <c r="B105" s="252" t="s">
        <v>20</v>
      </c>
      <c r="C105" s="253" t="s">
        <v>49</v>
      </c>
      <c r="D105" s="253" t="s">
        <v>49</v>
      </c>
      <c r="E105" s="253" t="s">
        <v>49</v>
      </c>
      <c r="F105" s="253" t="s">
        <v>49</v>
      </c>
      <c r="G105" s="273">
        <v>45839</v>
      </c>
      <c r="H105" s="273">
        <v>45858</v>
      </c>
      <c r="I105" s="208" t="s">
        <v>208</v>
      </c>
      <c r="J105" s="195"/>
    </row>
    <row r="106" spans="1:10" ht="17.5" customHeight="1" x14ac:dyDescent="0.25">
      <c r="A106" s="47"/>
      <c r="B106" s="225" t="s">
        <v>86</v>
      </c>
      <c r="C106" s="226" t="s">
        <v>49</v>
      </c>
      <c r="D106" s="227" t="s">
        <v>49</v>
      </c>
      <c r="E106" s="227" t="s">
        <v>49</v>
      </c>
      <c r="F106" s="220" t="s">
        <v>49</v>
      </c>
      <c r="G106" s="221">
        <v>45859</v>
      </c>
      <c r="H106" s="221">
        <v>45863</v>
      </c>
      <c r="I106" s="200" t="s">
        <v>200</v>
      </c>
      <c r="J106" s="195"/>
    </row>
    <row r="107" spans="1:10" ht="17.5" customHeight="1" x14ac:dyDescent="0.25">
      <c r="A107" s="47"/>
      <c r="B107" s="303" t="s">
        <v>81</v>
      </c>
      <c r="C107" s="304"/>
      <c r="D107" s="304"/>
      <c r="E107" s="304"/>
      <c r="F107" s="305"/>
      <c r="G107" s="232">
        <v>45864</v>
      </c>
      <c r="H107" s="232">
        <v>45869</v>
      </c>
      <c r="I107" s="14"/>
      <c r="J107" s="195"/>
    </row>
    <row r="108" spans="1:10" ht="8" customHeight="1" x14ac:dyDescent="0.25">
      <c r="A108" s="197"/>
      <c r="B108" s="4"/>
      <c r="C108" s="4"/>
      <c r="D108" s="4"/>
      <c r="E108" s="4"/>
      <c r="F108" s="4"/>
      <c r="G108" s="234"/>
      <c r="H108" s="234"/>
      <c r="I108" s="14"/>
      <c r="J108" s="195"/>
    </row>
    <row r="109" spans="1:10" ht="17.5" customHeight="1" x14ac:dyDescent="0.25">
      <c r="A109" s="47">
        <v>66</v>
      </c>
      <c r="B109" s="303" t="s">
        <v>205</v>
      </c>
      <c r="C109" s="304"/>
      <c r="D109" s="304"/>
      <c r="E109" s="304"/>
      <c r="F109" s="305"/>
      <c r="G109" s="221">
        <v>45839</v>
      </c>
      <c r="H109" s="221">
        <v>45841</v>
      </c>
      <c r="I109" s="39"/>
      <c r="J109" s="195"/>
    </row>
    <row r="110" spans="1:10" ht="17.5" customHeight="1" x14ac:dyDescent="0.25">
      <c r="A110" s="47"/>
      <c r="B110" s="220" t="s">
        <v>209</v>
      </c>
      <c r="C110" s="220" t="s">
        <v>50</v>
      </c>
      <c r="D110" s="220" t="s">
        <v>50</v>
      </c>
      <c r="E110" s="220" t="s">
        <v>50</v>
      </c>
      <c r="F110" s="220" t="s">
        <v>50</v>
      </c>
      <c r="G110" s="221">
        <v>45842</v>
      </c>
      <c r="H110" s="221">
        <v>45849</v>
      </c>
      <c r="I110" s="200" t="s">
        <v>210</v>
      </c>
      <c r="J110" s="283" t="s">
        <v>211</v>
      </c>
    </row>
    <row r="111" spans="1:10" ht="17.5" customHeight="1" x14ac:dyDescent="0.35">
      <c r="A111" s="47"/>
      <c r="B111" s="257" t="s">
        <v>204</v>
      </c>
      <c r="C111" s="220" t="s">
        <v>50</v>
      </c>
      <c r="D111" s="220" t="s">
        <v>50</v>
      </c>
      <c r="E111" s="220" t="s">
        <v>50</v>
      </c>
      <c r="F111" s="220" t="s">
        <v>50</v>
      </c>
      <c r="G111" s="221">
        <v>45850</v>
      </c>
      <c r="H111" s="221">
        <v>45855</v>
      </c>
      <c r="I111" s="206" t="s">
        <v>219</v>
      </c>
      <c r="J111" s="283" t="s">
        <v>211</v>
      </c>
    </row>
    <row r="112" spans="1:10" ht="17.5" customHeight="1" x14ac:dyDescent="0.25">
      <c r="A112" s="47"/>
      <c r="B112" s="222" t="s">
        <v>47</v>
      </c>
      <c r="C112" s="222" t="s">
        <v>192</v>
      </c>
      <c r="D112" s="222" t="s">
        <v>192</v>
      </c>
      <c r="E112" s="222" t="s">
        <v>50</v>
      </c>
      <c r="F112" s="222" t="s">
        <v>50</v>
      </c>
      <c r="G112" s="232">
        <v>45856</v>
      </c>
      <c r="H112" s="232">
        <v>45862</v>
      </c>
      <c r="I112" s="200" t="s">
        <v>207</v>
      </c>
      <c r="J112" s="283" t="s">
        <v>211</v>
      </c>
    </row>
    <row r="113" spans="1:10" ht="17.5" customHeight="1" x14ac:dyDescent="0.25">
      <c r="A113" s="47"/>
      <c r="B113" s="303" t="s">
        <v>81</v>
      </c>
      <c r="C113" s="304"/>
      <c r="D113" s="304"/>
      <c r="E113" s="304"/>
      <c r="F113" s="305"/>
      <c r="G113" s="232">
        <v>45863</v>
      </c>
      <c r="H113" s="232">
        <v>45869</v>
      </c>
      <c r="I113" s="14"/>
      <c r="J113" s="195"/>
    </row>
    <row r="114" spans="1:10" ht="8" customHeight="1" x14ac:dyDescent="0.25">
      <c r="A114" s="197"/>
      <c r="B114" s="4"/>
      <c r="C114" s="4"/>
      <c r="D114" s="4"/>
      <c r="E114" s="4"/>
      <c r="F114" s="4"/>
      <c r="G114" s="234"/>
      <c r="H114" s="234"/>
      <c r="I114" s="14"/>
      <c r="J114" s="195"/>
    </row>
    <row r="115" spans="1:10" ht="17.5" customHeight="1" x14ac:dyDescent="0.25">
      <c r="A115" s="47">
        <v>67</v>
      </c>
      <c r="B115" s="222" t="s">
        <v>209</v>
      </c>
      <c r="C115" s="220" t="s">
        <v>49</v>
      </c>
      <c r="D115" s="220" t="s">
        <v>49</v>
      </c>
      <c r="E115" s="220" t="s">
        <v>49</v>
      </c>
      <c r="F115" s="220" t="s">
        <v>49</v>
      </c>
      <c r="G115" s="221">
        <v>45839</v>
      </c>
      <c r="H115" s="221">
        <v>45845</v>
      </c>
      <c r="I115" s="200" t="s">
        <v>210</v>
      </c>
      <c r="J115" s="283" t="s">
        <v>211</v>
      </c>
    </row>
    <row r="116" spans="1:10" ht="17.5" customHeight="1" x14ac:dyDescent="0.25">
      <c r="A116" s="47"/>
      <c r="B116" s="220" t="s">
        <v>209</v>
      </c>
      <c r="C116" s="222" t="s">
        <v>51</v>
      </c>
      <c r="D116" s="222" t="s">
        <v>51</v>
      </c>
      <c r="E116" s="222" t="s">
        <v>53</v>
      </c>
      <c r="F116" s="222" t="s">
        <v>53</v>
      </c>
      <c r="G116" s="232">
        <v>45846</v>
      </c>
      <c r="H116" s="232">
        <v>45852</v>
      </c>
      <c r="I116" s="200" t="s">
        <v>210</v>
      </c>
      <c r="J116" s="283" t="s">
        <v>211</v>
      </c>
    </row>
    <row r="117" spans="1:10" ht="17.5" customHeight="1" x14ac:dyDescent="0.25">
      <c r="A117" s="47"/>
      <c r="B117" s="220" t="s">
        <v>209</v>
      </c>
      <c r="C117" s="222" t="s">
        <v>53</v>
      </c>
      <c r="D117" s="222" t="s">
        <v>53</v>
      </c>
      <c r="E117" s="222" t="s">
        <v>53</v>
      </c>
      <c r="F117" s="222" t="s">
        <v>53</v>
      </c>
      <c r="G117" s="232">
        <v>45853</v>
      </c>
      <c r="H117" s="232">
        <v>45854</v>
      </c>
      <c r="I117" s="200" t="s">
        <v>210</v>
      </c>
      <c r="J117" s="283" t="s">
        <v>211</v>
      </c>
    </row>
    <row r="118" spans="1:10" ht="17.5" customHeight="1" x14ac:dyDescent="0.25">
      <c r="A118" s="47"/>
      <c r="B118" s="252" t="s">
        <v>20</v>
      </c>
      <c r="C118" s="253" t="s">
        <v>53</v>
      </c>
      <c r="D118" s="253" t="s">
        <v>53</v>
      </c>
      <c r="E118" s="253" t="s">
        <v>53</v>
      </c>
      <c r="F118" s="253" t="s">
        <v>53</v>
      </c>
      <c r="G118" s="273">
        <v>45855</v>
      </c>
      <c r="H118" s="273">
        <v>45857</v>
      </c>
      <c r="I118" s="208" t="s">
        <v>208</v>
      </c>
      <c r="J118" s="283" t="s">
        <v>211</v>
      </c>
    </row>
    <row r="119" spans="1:10" ht="17.5" customHeight="1" x14ac:dyDescent="0.25">
      <c r="A119" s="47"/>
      <c r="B119" s="253" t="s">
        <v>20</v>
      </c>
      <c r="C119" s="252" t="s">
        <v>51</v>
      </c>
      <c r="D119" s="252" t="s">
        <v>51</v>
      </c>
      <c r="E119" s="252" t="s">
        <v>53</v>
      </c>
      <c r="F119" s="252" t="s">
        <v>53</v>
      </c>
      <c r="G119" s="274">
        <v>45858</v>
      </c>
      <c r="H119" s="274">
        <v>45858</v>
      </c>
      <c r="I119" s="208" t="s">
        <v>208</v>
      </c>
      <c r="J119" s="283" t="s">
        <v>211</v>
      </c>
    </row>
    <row r="120" spans="1:10" ht="17.5" customHeight="1" x14ac:dyDescent="0.25">
      <c r="A120" s="47"/>
      <c r="B120" s="229" t="s">
        <v>58</v>
      </c>
      <c r="C120" s="223" t="s">
        <v>51</v>
      </c>
      <c r="D120" s="223" t="s">
        <v>51</v>
      </c>
      <c r="E120" s="223" t="s">
        <v>53</v>
      </c>
      <c r="F120" s="223" t="s">
        <v>53</v>
      </c>
      <c r="G120" s="224">
        <v>45859</v>
      </c>
      <c r="H120" s="251">
        <v>45859</v>
      </c>
      <c r="I120" s="200" t="s">
        <v>199</v>
      </c>
      <c r="J120" s="283" t="s">
        <v>211</v>
      </c>
    </row>
    <row r="121" spans="1:10" ht="17.5" customHeight="1" x14ac:dyDescent="0.25">
      <c r="A121" s="47"/>
      <c r="B121" s="223" t="s">
        <v>58</v>
      </c>
      <c r="C121" s="223" t="s">
        <v>49</v>
      </c>
      <c r="D121" s="223" t="s">
        <v>49</v>
      </c>
      <c r="E121" s="223" t="s">
        <v>53</v>
      </c>
      <c r="F121" s="223" t="s">
        <v>53</v>
      </c>
      <c r="G121" s="224">
        <v>45860</v>
      </c>
      <c r="H121" s="251">
        <v>45861</v>
      </c>
      <c r="I121" s="200" t="s">
        <v>199</v>
      </c>
      <c r="J121" s="283" t="s">
        <v>211</v>
      </c>
    </row>
    <row r="122" spans="1:10" ht="17.5" customHeight="1" x14ac:dyDescent="0.25">
      <c r="A122" s="47"/>
      <c r="B122" s="303" t="s">
        <v>81</v>
      </c>
      <c r="C122" s="304"/>
      <c r="D122" s="304"/>
      <c r="E122" s="304"/>
      <c r="F122" s="305"/>
      <c r="G122" s="232">
        <v>45862</v>
      </c>
      <c r="H122" s="232">
        <v>45869</v>
      </c>
      <c r="I122" s="14"/>
      <c r="J122" s="195"/>
    </row>
    <row r="123" spans="1:10" ht="8" customHeight="1" x14ac:dyDescent="0.25">
      <c r="A123" s="197"/>
      <c r="B123" s="220"/>
      <c r="C123" s="220"/>
      <c r="D123" s="220"/>
      <c r="E123" s="220"/>
      <c r="F123" s="220"/>
      <c r="G123" s="221"/>
      <c r="H123" s="221"/>
      <c r="I123" s="14"/>
      <c r="J123" s="195"/>
    </row>
    <row r="124" spans="1:10" ht="17.5" customHeight="1" x14ac:dyDescent="0.35">
      <c r="A124" s="47">
        <v>68</v>
      </c>
      <c r="B124" s="262" t="s">
        <v>204</v>
      </c>
      <c r="C124" s="263" t="s">
        <v>49</v>
      </c>
      <c r="D124" s="263" t="s">
        <v>49</v>
      </c>
      <c r="E124" s="263" t="s">
        <v>49</v>
      </c>
      <c r="F124" s="263" t="s">
        <v>49</v>
      </c>
      <c r="G124" s="264">
        <v>45839</v>
      </c>
      <c r="H124" s="264">
        <v>45848</v>
      </c>
      <c r="I124" s="206" t="s">
        <v>219</v>
      </c>
      <c r="J124" s="283" t="s">
        <v>211</v>
      </c>
    </row>
    <row r="125" spans="1:10" ht="17.5" customHeight="1" x14ac:dyDescent="0.25">
      <c r="A125" s="47"/>
      <c r="B125" s="222" t="s">
        <v>47</v>
      </c>
      <c r="C125" s="222" t="s">
        <v>49</v>
      </c>
      <c r="D125" s="222" t="s">
        <v>49</v>
      </c>
      <c r="E125" s="222" t="s">
        <v>50</v>
      </c>
      <c r="F125" s="222" t="s">
        <v>50</v>
      </c>
      <c r="G125" s="232">
        <v>45847</v>
      </c>
      <c r="H125" s="232">
        <v>45849</v>
      </c>
      <c r="I125" s="200" t="s">
        <v>207</v>
      </c>
      <c r="J125" s="283" t="s">
        <v>211</v>
      </c>
    </row>
    <row r="126" spans="1:10" ht="17.5" customHeight="1" x14ac:dyDescent="0.25">
      <c r="A126" s="47"/>
      <c r="B126" s="223" t="s">
        <v>58</v>
      </c>
      <c r="C126" s="229" t="s">
        <v>49</v>
      </c>
      <c r="D126" s="229" t="s">
        <v>49</v>
      </c>
      <c r="E126" s="229" t="s">
        <v>50</v>
      </c>
      <c r="F126" s="229" t="s">
        <v>50</v>
      </c>
      <c r="G126" s="236">
        <v>45850</v>
      </c>
      <c r="H126" s="230">
        <v>45853</v>
      </c>
      <c r="I126" s="200" t="s">
        <v>199</v>
      </c>
      <c r="J126" s="283" t="s">
        <v>211</v>
      </c>
    </row>
    <row r="127" spans="1:10" ht="17.5" customHeight="1" x14ac:dyDescent="0.25">
      <c r="A127" s="47"/>
      <c r="B127" s="252" t="s">
        <v>20</v>
      </c>
      <c r="C127" s="253" t="s">
        <v>49</v>
      </c>
      <c r="D127" s="253" t="s">
        <v>49</v>
      </c>
      <c r="E127" s="253" t="s">
        <v>50</v>
      </c>
      <c r="F127" s="253" t="s">
        <v>50</v>
      </c>
      <c r="G127" s="273">
        <v>45854</v>
      </c>
      <c r="H127" s="273">
        <v>45860</v>
      </c>
      <c r="I127" s="208" t="s">
        <v>208</v>
      </c>
      <c r="J127" s="283" t="s">
        <v>211</v>
      </c>
    </row>
    <row r="128" spans="1:10" ht="17.5" customHeight="1" x14ac:dyDescent="0.25">
      <c r="A128" s="47"/>
      <c r="B128" s="253" t="s">
        <v>20</v>
      </c>
      <c r="C128" s="252" t="s">
        <v>49</v>
      </c>
      <c r="D128" s="252" t="s">
        <v>49</v>
      </c>
      <c r="E128" s="252" t="s">
        <v>49</v>
      </c>
      <c r="F128" s="252" t="s">
        <v>49</v>
      </c>
      <c r="G128" s="274">
        <v>45861</v>
      </c>
      <c r="H128" s="274">
        <v>45862</v>
      </c>
      <c r="I128" s="208" t="s">
        <v>208</v>
      </c>
      <c r="J128" s="283" t="s">
        <v>211</v>
      </c>
    </row>
    <row r="129" spans="1:10" ht="17.5" customHeight="1" x14ac:dyDescent="0.25">
      <c r="A129" s="47"/>
      <c r="B129" s="303" t="s">
        <v>81</v>
      </c>
      <c r="C129" s="304"/>
      <c r="D129" s="304"/>
      <c r="E129" s="304"/>
      <c r="F129" s="305"/>
      <c r="G129" s="232">
        <v>45863</v>
      </c>
      <c r="H129" s="232">
        <v>45869</v>
      </c>
      <c r="I129" s="14"/>
      <c r="J129" s="14"/>
    </row>
    <row r="130" spans="1:10" ht="8" customHeight="1" x14ac:dyDescent="0.25">
      <c r="A130" s="198"/>
      <c r="B130" s="227"/>
      <c r="C130" s="220"/>
      <c r="D130" s="220"/>
      <c r="E130" s="220"/>
      <c r="F130" s="220"/>
      <c r="G130" s="221"/>
      <c r="H130" s="228"/>
      <c r="I130" s="14"/>
      <c r="J130" s="14"/>
    </row>
    <row r="131" spans="1:10" ht="17.5" customHeight="1" x14ac:dyDescent="0.25">
      <c r="A131" s="47">
        <v>69</v>
      </c>
      <c r="B131" s="252" t="s">
        <v>20</v>
      </c>
      <c r="C131" s="253" t="s">
        <v>49</v>
      </c>
      <c r="D131" s="253" t="s">
        <v>49</v>
      </c>
      <c r="E131" s="253" t="s">
        <v>49</v>
      </c>
      <c r="F131" s="253" t="s">
        <v>49</v>
      </c>
      <c r="G131" s="273">
        <v>45839</v>
      </c>
      <c r="H131" s="273">
        <v>45841</v>
      </c>
      <c r="I131" s="200" t="s">
        <v>208</v>
      </c>
      <c r="J131" s="14"/>
    </row>
    <row r="132" spans="1:10" ht="17.5" customHeight="1" x14ac:dyDescent="0.25">
      <c r="A132" s="47"/>
      <c r="B132" s="253" t="s">
        <v>20</v>
      </c>
      <c r="C132" s="252" t="s">
        <v>49</v>
      </c>
      <c r="D132" s="252" t="s">
        <v>49</v>
      </c>
      <c r="E132" s="252" t="s">
        <v>50</v>
      </c>
      <c r="F132" s="252" t="s">
        <v>50</v>
      </c>
      <c r="G132" s="274">
        <v>45842</v>
      </c>
      <c r="H132" s="274">
        <v>45857</v>
      </c>
      <c r="I132" s="208" t="s">
        <v>208</v>
      </c>
      <c r="J132" s="14"/>
    </row>
    <row r="133" spans="1:10" ht="17.5" customHeight="1" x14ac:dyDescent="0.35">
      <c r="A133" s="47"/>
      <c r="B133" s="275" t="s">
        <v>73</v>
      </c>
      <c r="C133" s="220" t="s">
        <v>49</v>
      </c>
      <c r="D133" s="220" t="s">
        <v>49</v>
      </c>
      <c r="E133" s="220" t="s">
        <v>50</v>
      </c>
      <c r="F133" s="220" t="s">
        <v>50</v>
      </c>
      <c r="G133" s="221">
        <v>45858</v>
      </c>
      <c r="H133" s="221">
        <v>45862</v>
      </c>
      <c r="I133" s="209" t="s">
        <v>220</v>
      </c>
      <c r="J133" s="14"/>
    </row>
    <row r="134" spans="1:10" ht="17.5" customHeight="1" x14ac:dyDescent="0.35">
      <c r="A134" s="47"/>
      <c r="B134" s="247" t="s">
        <v>73</v>
      </c>
      <c r="C134" s="222" t="s">
        <v>192</v>
      </c>
      <c r="D134" s="222" t="s">
        <v>192</v>
      </c>
      <c r="E134" s="222" t="s">
        <v>50</v>
      </c>
      <c r="F134" s="222" t="s">
        <v>50</v>
      </c>
      <c r="G134" s="232">
        <v>45863</v>
      </c>
      <c r="H134" s="232">
        <v>45863</v>
      </c>
      <c r="I134" s="209" t="s">
        <v>220</v>
      </c>
      <c r="J134" s="14"/>
    </row>
    <row r="135" spans="1:10" ht="17.5" customHeight="1" x14ac:dyDescent="0.35">
      <c r="A135" s="47"/>
      <c r="B135" s="247" t="s">
        <v>73</v>
      </c>
      <c r="C135" s="222" t="s">
        <v>50</v>
      </c>
      <c r="D135" s="222" t="s">
        <v>50</v>
      </c>
      <c r="E135" s="222" t="s">
        <v>50</v>
      </c>
      <c r="F135" s="222" t="s">
        <v>50</v>
      </c>
      <c r="G135" s="232">
        <v>45864</v>
      </c>
      <c r="H135" s="232">
        <v>45865</v>
      </c>
      <c r="I135" s="209" t="s">
        <v>220</v>
      </c>
      <c r="J135" s="14"/>
    </row>
    <row r="136" spans="1:10" ht="17.5" customHeight="1" x14ac:dyDescent="0.35">
      <c r="A136" s="47"/>
      <c r="B136" s="247" t="s">
        <v>73</v>
      </c>
      <c r="C136" s="222" t="s">
        <v>49</v>
      </c>
      <c r="D136" s="222" t="s">
        <v>49</v>
      </c>
      <c r="E136" s="222" t="s">
        <v>53</v>
      </c>
      <c r="F136" s="222" t="s">
        <v>53</v>
      </c>
      <c r="G136" s="232">
        <v>45866</v>
      </c>
      <c r="H136" s="232">
        <v>45867</v>
      </c>
      <c r="I136" s="209" t="s">
        <v>220</v>
      </c>
      <c r="J136" s="14"/>
    </row>
    <row r="137" spans="1:10" ht="17.5" customHeight="1" x14ac:dyDescent="0.25">
      <c r="A137" s="47"/>
      <c r="B137" s="303" t="s">
        <v>81</v>
      </c>
      <c r="C137" s="304"/>
      <c r="D137" s="304"/>
      <c r="E137" s="304"/>
      <c r="F137" s="305"/>
      <c r="G137" s="232">
        <v>45868</v>
      </c>
      <c r="H137" s="232">
        <v>45869</v>
      </c>
      <c r="I137" s="14"/>
      <c r="J137" s="14"/>
    </row>
    <row r="138" spans="1:10" ht="8" customHeight="1" x14ac:dyDescent="0.25">
      <c r="A138" s="198"/>
      <c r="B138" s="220"/>
      <c r="C138" s="220"/>
      <c r="D138" s="220"/>
      <c r="E138" s="220"/>
      <c r="F138" s="220"/>
      <c r="G138" s="221"/>
      <c r="H138" s="221"/>
      <c r="I138" s="14"/>
      <c r="J138" s="14"/>
    </row>
    <row r="139" spans="1:10" ht="17.5" customHeight="1" x14ac:dyDescent="0.25">
      <c r="A139" s="47">
        <v>70</v>
      </c>
      <c r="B139" s="259" t="s">
        <v>80</v>
      </c>
      <c r="C139" s="261" t="s">
        <v>51</v>
      </c>
      <c r="D139" s="261" t="s">
        <v>53</v>
      </c>
      <c r="E139" s="261" t="s">
        <v>53</v>
      </c>
      <c r="F139" s="261" t="s">
        <v>53</v>
      </c>
      <c r="G139" s="261">
        <v>45839</v>
      </c>
      <c r="H139" s="261">
        <v>45840</v>
      </c>
      <c r="I139" s="200" t="s">
        <v>206</v>
      </c>
      <c r="J139" s="14"/>
    </row>
    <row r="140" spans="1:10" ht="17.5" customHeight="1" x14ac:dyDescent="0.25">
      <c r="A140" s="47"/>
      <c r="B140" s="260" t="s">
        <v>80</v>
      </c>
      <c r="C140" s="259" t="s">
        <v>53</v>
      </c>
      <c r="D140" s="259" t="s">
        <v>53</v>
      </c>
      <c r="E140" s="259" t="s">
        <v>53</v>
      </c>
      <c r="F140" s="259" t="s">
        <v>53</v>
      </c>
      <c r="G140" s="270">
        <v>45841</v>
      </c>
      <c r="H140" s="270">
        <v>45843</v>
      </c>
      <c r="I140" s="200" t="s">
        <v>206</v>
      </c>
      <c r="J140" s="14"/>
    </row>
    <row r="141" spans="1:10" ht="17.5" customHeight="1" x14ac:dyDescent="0.25">
      <c r="A141" s="47"/>
      <c r="B141" s="252" t="s">
        <v>20</v>
      </c>
      <c r="C141" s="253" t="s">
        <v>53</v>
      </c>
      <c r="D141" s="253" t="s">
        <v>53</v>
      </c>
      <c r="E141" s="253" t="s">
        <v>53</v>
      </c>
      <c r="F141" s="253" t="s">
        <v>53</v>
      </c>
      <c r="G141" s="273">
        <v>45844</v>
      </c>
      <c r="H141" s="273">
        <v>45855</v>
      </c>
      <c r="I141" s="208" t="s">
        <v>208</v>
      </c>
      <c r="J141" s="14"/>
    </row>
    <row r="142" spans="1:10" ht="17.5" customHeight="1" x14ac:dyDescent="0.25">
      <c r="A142" s="47"/>
      <c r="B142" s="253" t="s">
        <v>20</v>
      </c>
      <c r="C142" s="252" t="s">
        <v>51</v>
      </c>
      <c r="D142" s="252" t="s">
        <v>53</v>
      </c>
      <c r="E142" s="252" t="s">
        <v>53</v>
      </c>
      <c r="F142" s="252" t="s">
        <v>53</v>
      </c>
      <c r="G142" s="274">
        <v>45856</v>
      </c>
      <c r="H142" s="274">
        <v>45858</v>
      </c>
      <c r="I142" s="208" t="s">
        <v>208</v>
      </c>
      <c r="J142" s="14"/>
    </row>
    <row r="143" spans="1:10" ht="17.5" customHeight="1" x14ac:dyDescent="0.25">
      <c r="A143" s="47"/>
      <c r="B143" s="303" t="s">
        <v>43</v>
      </c>
      <c r="C143" s="304"/>
      <c r="D143" s="304"/>
      <c r="E143" s="304"/>
      <c r="F143" s="305"/>
      <c r="G143" s="221">
        <v>45859</v>
      </c>
      <c r="H143" s="221">
        <v>45869</v>
      </c>
      <c r="I143" s="205"/>
      <c r="J143" s="14"/>
    </row>
    <row r="144" spans="1:10" ht="8" customHeight="1" x14ac:dyDescent="0.25">
      <c r="A144" s="197"/>
      <c r="G144" s="7"/>
      <c r="H144" s="7"/>
      <c r="I144" s="14"/>
      <c r="J144" s="14"/>
    </row>
    <row r="145" spans="1:10" ht="17.5" customHeight="1" x14ac:dyDescent="0.25">
      <c r="A145" s="47">
        <v>71</v>
      </c>
      <c r="B145" s="223" t="s">
        <v>58</v>
      </c>
      <c r="C145" s="229" t="s">
        <v>50</v>
      </c>
      <c r="D145" s="229" t="s">
        <v>50</v>
      </c>
      <c r="E145" s="229" t="s">
        <v>50</v>
      </c>
      <c r="F145" s="229" t="s">
        <v>50</v>
      </c>
      <c r="G145" s="236">
        <v>45839</v>
      </c>
      <c r="H145" s="236">
        <v>45842</v>
      </c>
      <c r="I145" s="200" t="s">
        <v>199</v>
      </c>
      <c r="J145" s="14"/>
    </row>
    <row r="146" spans="1:10" ht="17.5" customHeight="1" x14ac:dyDescent="0.35">
      <c r="A146" s="47"/>
      <c r="B146" s="303" t="s">
        <v>205</v>
      </c>
      <c r="C146" s="304"/>
      <c r="D146" s="304"/>
      <c r="E146" s="304"/>
      <c r="F146" s="305"/>
      <c r="G146" s="221">
        <v>45843</v>
      </c>
      <c r="H146" s="221">
        <v>45848</v>
      </c>
      <c r="I146" s="207"/>
      <c r="J146" s="14"/>
    </row>
    <row r="147" spans="1:10" ht="17.5" customHeight="1" x14ac:dyDescent="0.25">
      <c r="A147" s="47"/>
      <c r="B147" s="229" t="s">
        <v>58</v>
      </c>
      <c r="C147" s="229" t="s">
        <v>50</v>
      </c>
      <c r="D147" s="229" t="s">
        <v>50</v>
      </c>
      <c r="E147" s="229" t="s">
        <v>50</v>
      </c>
      <c r="F147" s="229" t="s">
        <v>50</v>
      </c>
      <c r="G147" s="236">
        <v>45849</v>
      </c>
      <c r="H147" s="236">
        <v>45856</v>
      </c>
      <c r="I147" s="200" t="s">
        <v>199</v>
      </c>
      <c r="J147" s="14"/>
    </row>
    <row r="148" spans="1:10" ht="17.5" customHeight="1" x14ac:dyDescent="0.35">
      <c r="A148" s="47"/>
      <c r="B148" s="257" t="s">
        <v>204</v>
      </c>
      <c r="C148" s="220" t="s">
        <v>50</v>
      </c>
      <c r="D148" s="220" t="s">
        <v>50</v>
      </c>
      <c r="E148" s="220" t="s">
        <v>50</v>
      </c>
      <c r="F148" s="220" t="s">
        <v>50</v>
      </c>
      <c r="G148" s="221">
        <v>45857</v>
      </c>
      <c r="H148" s="221">
        <v>45865</v>
      </c>
      <c r="I148" s="206" t="s">
        <v>219</v>
      </c>
      <c r="J148" s="14"/>
    </row>
    <row r="149" spans="1:10" ht="17.5" customHeight="1" x14ac:dyDescent="0.25">
      <c r="A149" s="47"/>
      <c r="B149" s="303" t="s">
        <v>81</v>
      </c>
      <c r="C149" s="304"/>
      <c r="D149" s="304"/>
      <c r="E149" s="304"/>
      <c r="F149" s="305"/>
      <c r="G149" s="232">
        <v>45866</v>
      </c>
      <c r="H149" s="232">
        <v>45858</v>
      </c>
      <c r="I149" s="14"/>
      <c r="J149" s="14"/>
    </row>
    <row r="150" spans="1:10" ht="8" customHeight="1" x14ac:dyDescent="0.25">
      <c r="A150" s="197"/>
      <c r="G150" s="7"/>
      <c r="H150" s="7"/>
      <c r="I150" s="14"/>
      <c r="J150" s="14"/>
    </row>
    <row r="151" spans="1:10" ht="17.5" customHeight="1" x14ac:dyDescent="0.25">
      <c r="A151" s="47">
        <v>72</v>
      </c>
      <c r="B151" s="252" t="s">
        <v>20</v>
      </c>
      <c r="C151" s="252" t="s">
        <v>192</v>
      </c>
      <c r="D151" s="252" t="s">
        <v>50</v>
      </c>
      <c r="E151" s="252" t="s">
        <v>50</v>
      </c>
      <c r="F151" s="252" t="s">
        <v>50</v>
      </c>
      <c r="G151" s="274">
        <v>45839</v>
      </c>
      <c r="H151" s="274">
        <v>45840</v>
      </c>
      <c r="I151" s="205" t="s">
        <v>208</v>
      </c>
      <c r="J151" s="14"/>
    </row>
    <row r="152" spans="1:10" ht="17.5" customHeight="1" x14ac:dyDescent="0.25">
      <c r="A152" s="47"/>
      <c r="B152" s="253" t="s">
        <v>20</v>
      </c>
      <c r="C152" s="252" t="s">
        <v>50</v>
      </c>
      <c r="D152" s="252" t="s">
        <v>50</v>
      </c>
      <c r="E152" s="252" t="s">
        <v>50</v>
      </c>
      <c r="F152" s="252" t="s">
        <v>50</v>
      </c>
      <c r="G152" s="274">
        <v>45841</v>
      </c>
      <c r="H152" s="274">
        <v>45851</v>
      </c>
      <c r="I152" s="205" t="s">
        <v>208</v>
      </c>
      <c r="J152" s="14"/>
    </row>
    <row r="153" spans="1:10" ht="17.5" customHeight="1" x14ac:dyDescent="0.35">
      <c r="A153" s="47"/>
      <c r="B153" s="303" t="s">
        <v>205</v>
      </c>
      <c r="C153" s="304"/>
      <c r="D153" s="304"/>
      <c r="E153" s="304"/>
      <c r="F153" s="305"/>
      <c r="G153" s="221">
        <v>45852</v>
      </c>
      <c r="H153" s="221">
        <v>45857</v>
      </c>
      <c r="I153" s="207"/>
      <c r="J153" s="14"/>
    </row>
    <row r="154" spans="1:10" ht="17.5" customHeight="1" x14ac:dyDescent="0.25">
      <c r="A154" s="47"/>
      <c r="B154" s="253" t="s">
        <v>20</v>
      </c>
      <c r="C154" s="252" t="s">
        <v>192</v>
      </c>
      <c r="D154" s="252" t="s">
        <v>50</v>
      </c>
      <c r="E154" s="252" t="s">
        <v>50</v>
      </c>
      <c r="F154" s="252" t="s">
        <v>50</v>
      </c>
      <c r="G154" s="274">
        <v>45858</v>
      </c>
      <c r="H154" s="274">
        <v>45859</v>
      </c>
      <c r="I154" s="205" t="s">
        <v>208</v>
      </c>
      <c r="J154" s="14"/>
    </row>
    <row r="155" spans="1:10" ht="17.5" customHeight="1" x14ac:dyDescent="0.25">
      <c r="A155" s="47"/>
      <c r="B155" s="253" t="s">
        <v>20</v>
      </c>
      <c r="C155" s="252" t="s">
        <v>50</v>
      </c>
      <c r="D155" s="252" t="s">
        <v>50</v>
      </c>
      <c r="E155" s="252" t="s">
        <v>50</v>
      </c>
      <c r="F155" s="252" t="s">
        <v>50</v>
      </c>
      <c r="G155" s="274">
        <v>45860</v>
      </c>
      <c r="H155" s="274">
        <v>45867</v>
      </c>
      <c r="I155" s="205" t="s">
        <v>208</v>
      </c>
      <c r="J155" s="14"/>
    </row>
    <row r="156" spans="1:10" ht="17.5" customHeight="1" x14ac:dyDescent="0.25">
      <c r="A156" s="47"/>
      <c r="B156" s="303" t="s">
        <v>81</v>
      </c>
      <c r="C156" s="304"/>
      <c r="D156" s="304"/>
      <c r="E156" s="304"/>
      <c r="F156" s="305"/>
      <c r="G156" s="232">
        <v>45868</v>
      </c>
      <c r="H156" s="232">
        <v>45869</v>
      </c>
      <c r="I156" s="14"/>
      <c r="J156" s="14"/>
    </row>
    <row r="157" spans="1:10" ht="17.5" customHeight="1" x14ac:dyDescent="0.25">
      <c r="A157" s="43"/>
      <c r="B157" s="276"/>
      <c r="C157" s="276"/>
      <c r="D157" s="276"/>
      <c r="E157" s="276"/>
      <c r="F157" s="276"/>
      <c r="G157" s="277"/>
      <c r="H157" s="277"/>
      <c r="I157" s="9"/>
    </row>
    <row r="158" spans="1:10" ht="17.5" customHeight="1" x14ac:dyDescent="0.25">
      <c r="A158" s="11"/>
      <c r="B158" s="276"/>
      <c r="C158" s="276"/>
      <c r="D158" s="276"/>
      <c r="E158" s="276"/>
      <c r="F158" s="276"/>
      <c r="G158" s="277"/>
      <c r="H158" s="277"/>
      <c r="I158" s="9"/>
    </row>
    <row r="159" spans="1:10" ht="17.5" customHeight="1" x14ac:dyDescent="0.25">
      <c r="A159" s="48" t="s">
        <v>5</v>
      </c>
      <c r="B159" s="276"/>
      <c r="C159" s="276"/>
      <c r="D159" s="276"/>
      <c r="E159" s="276"/>
      <c r="F159" s="276"/>
      <c r="G159" s="277"/>
      <c r="H159" s="277"/>
      <c r="I159" s="12"/>
    </row>
    <row r="160" spans="1:10" ht="17.5" customHeight="1" x14ac:dyDescent="0.25">
      <c r="A160" s="49" t="s">
        <v>62</v>
      </c>
      <c r="B160" s="276"/>
      <c r="C160" s="276"/>
      <c r="D160" s="276"/>
      <c r="E160" s="276"/>
      <c r="F160" s="276"/>
      <c r="G160" s="277"/>
      <c r="H160" s="277"/>
      <c r="I160" s="12"/>
      <c r="J160" s="42"/>
    </row>
    <row r="161" spans="1:10" ht="17.5" customHeight="1" x14ac:dyDescent="0.25">
      <c r="A161" s="49" t="s">
        <v>63</v>
      </c>
      <c r="B161" s="276"/>
      <c r="C161" s="276"/>
      <c r="D161" s="276"/>
      <c r="E161" s="276"/>
      <c r="F161" s="276"/>
      <c r="G161" s="277"/>
      <c r="H161" s="277"/>
      <c r="I161" s="12"/>
      <c r="J161" s="42"/>
    </row>
    <row r="162" spans="1:10" ht="17.5" customHeight="1" x14ac:dyDescent="0.25">
      <c r="A162" s="49" t="s">
        <v>64</v>
      </c>
      <c r="B162" s="276"/>
      <c r="C162" s="276"/>
      <c r="D162" s="276"/>
      <c r="E162" s="276"/>
      <c r="F162" s="276"/>
      <c r="G162" s="277"/>
      <c r="H162" s="277"/>
      <c r="I162" s="12"/>
      <c r="J162" s="42"/>
    </row>
    <row r="163" spans="1:10" ht="17.5" customHeight="1" x14ac:dyDescent="0.25">
      <c r="A163" s="49" t="s">
        <v>65</v>
      </c>
      <c r="B163" s="276"/>
      <c r="C163" s="276"/>
      <c r="D163" s="276"/>
      <c r="E163" s="276"/>
      <c r="F163" s="276"/>
      <c r="G163" s="277"/>
      <c r="H163" s="277"/>
      <c r="I163" s="12"/>
      <c r="J163" s="42"/>
    </row>
    <row r="164" spans="1:10" ht="17.5" customHeight="1" x14ac:dyDescent="0.25">
      <c r="A164" s="49" t="s">
        <v>66</v>
      </c>
      <c r="B164" s="9"/>
      <c r="C164" s="12"/>
      <c r="D164" s="12"/>
      <c r="E164" s="12"/>
      <c r="F164" s="12"/>
      <c r="G164" s="278"/>
      <c r="H164" s="278"/>
      <c r="I164" s="12"/>
      <c r="J164" s="42"/>
    </row>
    <row r="165" spans="1:10" ht="17.5" customHeight="1" x14ac:dyDescent="0.4">
      <c r="A165" s="38"/>
      <c r="C165" s="9"/>
      <c r="D165" s="9"/>
      <c r="E165" s="9"/>
      <c r="F165" s="9"/>
      <c r="G165" s="279"/>
      <c r="H165" s="279"/>
      <c r="I165" s="12"/>
      <c r="J165" s="41"/>
    </row>
    <row r="166" spans="1:10" ht="17.5" customHeight="1" x14ac:dyDescent="0.25">
      <c r="A166" s="13"/>
      <c r="C166" s="9"/>
      <c r="D166" s="9"/>
      <c r="E166" s="9"/>
      <c r="F166" s="9"/>
      <c r="G166" s="279"/>
      <c r="H166" s="279"/>
      <c r="I166" s="9"/>
      <c r="J166" s="41"/>
    </row>
    <row r="167" spans="1:10" ht="17.5" customHeight="1" x14ac:dyDescent="0.25">
      <c r="A167" s="1" t="s">
        <v>2</v>
      </c>
      <c r="B167" s="280"/>
      <c r="C167" s="9"/>
      <c r="D167" s="9"/>
      <c r="E167" s="9"/>
      <c r="F167" s="9"/>
      <c r="G167" s="279"/>
      <c r="H167" s="279"/>
      <c r="I167" s="9"/>
      <c r="J167" s="42"/>
    </row>
    <row r="168" spans="1:10" ht="17.5" customHeight="1" x14ac:dyDescent="0.25">
      <c r="A168" s="2" t="s">
        <v>17</v>
      </c>
      <c r="B168" s="281"/>
      <c r="C168" s="12"/>
      <c r="D168" s="12"/>
      <c r="E168" s="12"/>
      <c r="F168" s="12"/>
      <c r="G168" s="278"/>
      <c r="H168" s="278"/>
      <c r="I168" s="9"/>
      <c r="J168" s="42"/>
    </row>
    <row r="169" spans="1:10" ht="17.5" customHeight="1" x14ac:dyDescent="0.25">
      <c r="A169" s="2"/>
      <c r="B169" s="281"/>
      <c r="C169" s="12"/>
      <c r="D169" s="12"/>
      <c r="E169" s="12"/>
      <c r="F169" s="12"/>
      <c r="G169" s="278"/>
      <c r="H169" s="278"/>
      <c r="I169" s="9"/>
      <c r="J169" s="42"/>
    </row>
    <row r="170" spans="1:10" ht="17.5" customHeight="1" x14ac:dyDescent="0.25">
      <c r="A170" s="3"/>
      <c r="B170" s="282"/>
      <c r="C170" s="9"/>
      <c r="D170" s="9"/>
      <c r="E170" s="9"/>
      <c r="F170" s="9"/>
      <c r="G170" s="279"/>
      <c r="H170" s="279"/>
      <c r="I170" s="12"/>
      <c r="J170" s="42"/>
    </row>
    <row r="171" spans="1:10" ht="17.5" customHeight="1" x14ac:dyDescent="0.25">
      <c r="A171" s="1" t="s">
        <v>3</v>
      </c>
      <c r="B171" s="280"/>
      <c r="C171" s="12"/>
      <c r="D171" s="12"/>
      <c r="E171" s="12"/>
      <c r="F171" s="12"/>
      <c r="G171" s="278"/>
      <c r="H171" s="278"/>
      <c r="I171" s="12"/>
      <c r="J171" s="42"/>
    </row>
    <row r="172" spans="1:10" ht="17.5" customHeight="1" x14ac:dyDescent="0.25">
      <c r="A172" s="2" t="s">
        <v>17</v>
      </c>
      <c r="B172" s="281"/>
      <c r="I172" s="9"/>
      <c r="J172" s="42"/>
    </row>
    <row r="173" spans="1:10" ht="17.5" customHeight="1" x14ac:dyDescent="0.25">
      <c r="A173" s="2"/>
      <c r="B173" s="281"/>
      <c r="I173" s="12"/>
      <c r="J173" s="42"/>
    </row>
    <row r="174" spans="1:10" ht="17.5" customHeight="1" x14ac:dyDescent="0.25">
      <c r="A174" s="3"/>
      <c r="B174" s="282"/>
      <c r="I174" s="7"/>
    </row>
    <row r="175" spans="1:10" ht="17.5" customHeight="1" x14ac:dyDescent="0.25"/>
    <row r="176" spans="1:10" ht="17.5" customHeight="1" x14ac:dyDescent="0.25"/>
    <row r="177" ht="17.5" customHeight="1" x14ac:dyDescent="0.25"/>
    <row r="178" ht="17.5" customHeight="1" x14ac:dyDescent="0.25"/>
    <row r="179" ht="17.5" customHeight="1" x14ac:dyDescent="0.25"/>
    <row r="180" ht="17.5" customHeight="1" x14ac:dyDescent="0.25"/>
    <row r="181" ht="17.5" customHeight="1" x14ac:dyDescent="0.25"/>
    <row r="182" ht="17.5" customHeight="1" x14ac:dyDescent="0.25"/>
    <row r="183" ht="17.5" customHeight="1" x14ac:dyDescent="0.25"/>
    <row r="184" ht="17.5" customHeight="1" x14ac:dyDescent="0.25"/>
    <row r="185" ht="17.5" customHeight="1" x14ac:dyDescent="0.25"/>
    <row r="186" ht="17.5" customHeight="1" x14ac:dyDescent="0.25"/>
    <row r="187" ht="17.5" customHeight="1" x14ac:dyDescent="0.25"/>
    <row r="188" ht="17.5" customHeight="1" x14ac:dyDescent="0.25"/>
    <row r="189" ht="17.5" customHeight="1" x14ac:dyDescent="0.25"/>
    <row r="190" ht="17.5" customHeight="1" x14ac:dyDescent="0.25"/>
    <row r="191" ht="17.5" customHeight="1" x14ac:dyDescent="0.25"/>
    <row r="192" ht="17.5" customHeight="1" x14ac:dyDescent="0.25"/>
    <row r="193" ht="17.5" customHeight="1" x14ac:dyDescent="0.25"/>
    <row r="194" ht="17.5" customHeight="1" x14ac:dyDescent="0.25"/>
    <row r="195" ht="17.5" customHeight="1" x14ac:dyDescent="0.25"/>
    <row r="196" ht="17.5" customHeight="1" x14ac:dyDescent="0.25"/>
    <row r="197" ht="17.5" customHeight="1" x14ac:dyDescent="0.25"/>
    <row r="198" ht="17.5" customHeight="1" x14ac:dyDescent="0.25"/>
    <row r="199" ht="17.5" customHeight="1" x14ac:dyDescent="0.25"/>
    <row r="200" ht="17.5" customHeight="1" x14ac:dyDescent="0.25"/>
    <row r="201" ht="17.5" customHeight="1" x14ac:dyDescent="0.25"/>
    <row r="202" ht="17.5" customHeight="1" x14ac:dyDescent="0.25"/>
    <row r="203" ht="17.5" customHeight="1" x14ac:dyDescent="0.25"/>
    <row r="204" ht="17.5" customHeight="1" x14ac:dyDescent="0.25"/>
    <row r="205" ht="17.5" customHeight="1" x14ac:dyDescent="0.25"/>
    <row r="206" ht="17.5" customHeight="1" x14ac:dyDescent="0.25"/>
    <row r="207" ht="17.5" customHeight="1" x14ac:dyDescent="0.25"/>
    <row r="208" ht="17.5" customHeight="1" x14ac:dyDescent="0.25"/>
    <row r="209" ht="17.5" customHeight="1" x14ac:dyDescent="0.25"/>
    <row r="210" ht="17.5" customHeight="1" x14ac:dyDescent="0.25"/>
    <row r="211" ht="17.5" customHeight="1" x14ac:dyDescent="0.25"/>
    <row r="212" ht="17.5" customHeight="1" x14ac:dyDescent="0.25"/>
    <row r="213" ht="17.5" customHeight="1" x14ac:dyDescent="0.25"/>
    <row r="214" ht="17.5" customHeight="1" x14ac:dyDescent="0.25"/>
    <row r="215" ht="17.5" customHeight="1" x14ac:dyDescent="0.25"/>
    <row r="216" ht="17.5" customHeight="1" x14ac:dyDescent="0.25"/>
    <row r="217" ht="17.5" customHeight="1" x14ac:dyDescent="0.25"/>
    <row r="218" ht="17.5" customHeight="1" x14ac:dyDescent="0.25"/>
    <row r="219" ht="17.5" customHeight="1" x14ac:dyDescent="0.25"/>
    <row r="220" ht="17.5" customHeight="1" x14ac:dyDescent="0.25"/>
    <row r="221" ht="17.5" customHeight="1" x14ac:dyDescent="0.25"/>
    <row r="222" ht="17.5" customHeight="1" x14ac:dyDescent="0.25"/>
  </sheetData>
  <sheetProtection selectLockedCells="1" selectUnlockedCells="1"/>
  <autoFilter ref="A7:I70" xr:uid="{BE72731D-4894-43EF-8ABB-ADB4F522546D}"/>
  <mergeCells count="31">
    <mergeCell ref="B93:F93"/>
    <mergeCell ref="B149:F149"/>
    <mergeCell ref="B153:F153"/>
    <mergeCell ref="B156:F156"/>
    <mergeCell ref="B91:F91"/>
    <mergeCell ref="B122:F122"/>
    <mergeCell ref="B129:F129"/>
    <mergeCell ref="B137:F137"/>
    <mergeCell ref="B143:F143"/>
    <mergeCell ref="B146:F146"/>
    <mergeCell ref="B96:F96"/>
    <mergeCell ref="B103:F103"/>
    <mergeCell ref="B107:F107"/>
    <mergeCell ref="B109:F109"/>
    <mergeCell ref="B113:F113"/>
    <mergeCell ref="G75:H75"/>
    <mergeCell ref="B84:F84"/>
    <mergeCell ref="B85:F85"/>
    <mergeCell ref="B90:F90"/>
    <mergeCell ref="B69:F69"/>
    <mergeCell ref="G6:H6"/>
    <mergeCell ref="C6:F6"/>
    <mergeCell ref="B21:F21"/>
    <mergeCell ref="B13:F13"/>
    <mergeCell ref="B70:F70"/>
    <mergeCell ref="B38:F38"/>
    <mergeCell ref="B49:F49"/>
    <mergeCell ref="B56:F56"/>
    <mergeCell ref="B60:F60"/>
    <mergeCell ref="B63:F63"/>
    <mergeCell ref="B39:F39"/>
  </mergeCells>
  <conditionalFormatting sqref="B9 B17 B37 B64">
    <cfRule type="expression" dxfId="49" priority="1" stopIfTrue="1">
      <formula>AND(COUNTIF($A$1:$A$26, B9)+COUNTIF($A$31:$A$65548, B9)&gt;1,NOT(ISBLANK(B9)))</formula>
    </cfRule>
    <cfRule type="expression" dxfId="48" priority="2" stopIfTrue="1">
      <formula>AND(COUNTIF($A$1:$A$36, B9)+COUNTIF($A$38:$A$65548, B9)&gt;1,NOT(ISBLANK(B9)))</formula>
    </cfRule>
  </conditionalFormatting>
  <conditionalFormatting sqref="B10 B28">
    <cfRule type="expression" dxfId="47" priority="7" stopIfTrue="1">
      <formula>AND(COUNTIF($A$1:$A$24, B10)+COUNTIF($A$26:$A$65545, B10)&gt;1,NOT(ISBLANK(B10)))</formula>
    </cfRule>
    <cfRule type="expression" dxfId="46" priority="8" stopIfTrue="1">
      <formula>AND(COUNTIF($A$1:$A$36, B10)+COUNTIF($A$9:$A$65545, B10)&gt;1,NOT(ISBLANK(B10)))</formula>
    </cfRule>
  </conditionalFormatting>
  <conditionalFormatting sqref="B11 B19:B20 B29 B42 B52 B55 B59 B65">
    <cfRule type="expression" dxfId="45" priority="3" stopIfTrue="1">
      <formula>AND(COUNTIF($A$1:$A$25, B11)+COUNTIF($A$27:$A$65553, B11)&gt;1,NOT(ISBLANK(B11)))</formula>
    </cfRule>
    <cfRule type="expression" dxfId="44" priority="4" stopIfTrue="1">
      <formula>AND(COUNTIF($A$1:$A$42, B11)+COUNTIF($A$47:$A$65553, B11)&gt;1,NOT(ISBLANK(B11)))</formula>
    </cfRule>
  </conditionalFormatting>
  <conditionalFormatting sqref="B12 B16 B47:B48">
    <cfRule type="expression" dxfId="43" priority="9" stopIfTrue="1">
      <formula>AND(COUNTIF($A$1:$A$86, B12)+COUNTIF($A$100:$A$65572, B12)&gt;1,NOT(ISBLANK(B12)))</formula>
    </cfRule>
    <cfRule type="expression" dxfId="42" priority="10" stopIfTrue="1">
      <formula>AND(COUNTIF($A$1:$A$105, B12)+COUNTIF($A$27:$A$65572, B12)&gt;1,NOT(ISBLANK(B12)))</formula>
    </cfRule>
  </conditionalFormatting>
  <conditionalFormatting sqref="B15">
    <cfRule type="expression" dxfId="41" priority="15" stopIfTrue="1">
      <formula>AND(COUNTIF($A$1:$A$35, B15)+COUNTIF($A$39:$A$65487, B15)&gt;1,NOT(ISBLANK(B15)))</formula>
    </cfRule>
    <cfRule type="expression" dxfId="40" priority="16" stopIfTrue="1">
      <formula>AND(COUNTIF($A$1:$A$49, B15)+COUNTIF($A$56:$A$65487, B15)&gt;1,NOT(ISBLANK(B15)))</formula>
    </cfRule>
  </conditionalFormatting>
  <conditionalFormatting sqref="B18 B24">
    <cfRule type="expression" dxfId="39" priority="17" stopIfTrue="1">
      <formula>AND(COUNTIF($A$1:$A$100, B18)+COUNTIF($A$39:$A$65499, B18)&gt;1,NOT(ISBLANK(B18)))</formula>
    </cfRule>
    <cfRule type="expression" dxfId="38" priority="18" stopIfTrue="1">
      <formula>AND(COUNTIF($A$1:$A$100, B18)+COUNTIF($A$101:$A$65499, B18)&gt;1,NOT(ISBLANK(B18)))</formula>
    </cfRule>
  </conditionalFormatting>
  <conditionalFormatting sqref="B23">
    <cfRule type="expression" dxfId="37" priority="19" stopIfTrue="1">
      <formula>AND(COUNTIF($A$1:$A$88, B23)+COUNTIF($A$103:$A$65500, B23)&gt;1,NOT(ISBLANK(B23)))</formula>
    </cfRule>
    <cfRule type="expression" dxfId="36" priority="20" stopIfTrue="1">
      <formula>AND(COUNTIF($A$1:$A$108, B23)+COUNTIF($A$23:$A$65500, B23)&gt;1,NOT(ISBLANK(B23)))</formula>
    </cfRule>
  </conditionalFormatting>
  <conditionalFormatting sqref="B25 B30 B43:B44 B66 B71">
    <cfRule type="expression" dxfId="35" priority="5" stopIfTrue="1">
      <formula>AND(COUNTIF($A$1:$A$20, B25)+COUNTIF($A$21:$A$65539, B25)&gt;1,NOT(ISBLANK(B25)))</formula>
    </cfRule>
    <cfRule type="expression" dxfId="34" priority="6" stopIfTrue="1">
      <formula>AND(COUNTIF($A$1:$A$31, B25)+COUNTIF($A$37:$A$65539, B25)&gt;1,NOT(ISBLANK(B25)))</formula>
    </cfRule>
  </conditionalFormatting>
  <conditionalFormatting sqref="B27">
    <cfRule type="expression" dxfId="33" priority="11" stopIfTrue="1">
      <formula>AND(COUNTIF($A$1:$A$87, B27)+COUNTIF($A$102:$A$65499, B27)&gt;1,NOT(ISBLANK(B27)))</formula>
    </cfRule>
    <cfRule type="expression" dxfId="32" priority="12" stopIfTrue="1">
      <formula>AND(COUNTIF($A$1:$A$107, B27)+COUNTIF($A$27:$A$65499, B27)&gt;1,NOT(ISBLANK(B27)))</formula>
    </cfRule>
  </conditionalFormatting>
  <conditionalFormatting sqref="B34">
    <cfRule type="expression" dxfId="31" priority="13" stopIfTrue="1">
      <formula>AND(COUNTIF($A$1:$A$97, B34)+COUNTIF($A$104:$A$65496, B34)&gt;1,NOT(ISBLANK(B34)))</formula>
    </cfRule>
  </conditionalFormatting>
  <conditionalFormatting sqref="B35">
    <cfRule type="expression" dxfId="30" priority="14" stopIfTrue="1">
      <formula>AND(COUNTIF($A$1:$A$104, B35)+COUNTIF($A$111:$A$65580, B35)&gt;1,NOT(ISBLANK(B35)))</formula>
    </cfRule>
  </conditionalFormatting>
  <conditionalFormatting sqref="B133:B136">
    <cfRule type="expression" dxfId="29" priority="63" stopIfTrue="1">
      <formula>AND(COUNTIF($A$1:$A$32, B133)+COUNTIF($A$37:$A$65538, B133)&gt;1,NOT(ISBLANK(B133)))</formula>
    </cfRule>
  </conditionalFormatting>
  <pageMargins left="0" right="0" top="0" bottom="0" header="0" footer="0"/>
  <pageSetup paperSize="9" scale="40" orientation="landscape" useFirstPageNumber="1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B022-9BC5-437D-8844-46373739AEB7}">
  <dimension ref="B3:I36"/>
  <sheetViews>
    <sheetView tabSelected="1" workbookViewId="0">
      <selection activeCell="H24" sqref="H24"/>
    </sheetView>
  </sheetViews>
  <sheetFormatPr defaultRowHeight="12.5" x14ac:dyDescent="0.25"/>
  <cols>
    <col min="2" max="2" width="19.6328125" customWidth="1"/>
    <col min="3" max="3" width="37.90625" customWidth="1"/>
    <col min="4" max="9" width="19.6328125" customWidth="1"/>
  </cols>
  <sheetData>
    <row r="3" spans="2:9" ht="14.5" x14ac:dyDescent="0.25">
      <c r="B3" s="164" t="s">
        <v>222</v>
      </c>
      <c r="C3" s="164" t="s">
        <v>223</v>
      </c>
      <c r="D3" s="285" t="s">
        <v>10</v>
      </c>
      <c r="E3" s="285" t="s">
        <v>9</v>
      </c>
      <c r="F3" s="285" t="s">
        <v>12</v>
      </c>
      <c r="G3" s="285" t="s">
        <v>11</v>
      </c>
      <c r="H3" s="164" t="s">
        <v>13</v>
      </c>
      <c r="I3" s="164" t="s">
        <v>14</v>
      </c>
    </row>
    <row r="4" spans="2:9" ht="14.5" x14ac:dyDescent="0.25">
      <c r="B4" s="286">
        <v>49</v>
      </c>
      <c r="C4" s="287" t="s">
        <v>106</v>
      </c>
      <c r="D4" s="287" t="s">
        <v>53</v>
      </c>
      <c r="E4" s="287" t="s">
        <v>53</v>
      </c>
      <c r="F4" s="287" t="s">
        <v>53</v>
      </c>
      <c r="G4" s="287" t="s">
        <v>53</v>
      </c>
      <c r="H4" s="288">
        <v>45839</v>
      </c>
      <c r="I4" s="288">
        <v>45841</v>
      </c>
    </row>
    <row r="5" spans="2:9" ht="14.5" x14ac:dyDescent="0.25">
      <c r="B5" s="289">
        <v>50</v>
      </c>
      <c r="C5" s="287" t="s">
        <v>37</v>
      </c>
      <c r="D5" s="287" t="s">
        <v>50</v>
      </c>
      <c r="E5" s="287" t="s">
        <v>50</v>
      </c>
      <c r="F5" s="287" t="s">
        <v>50</v>
      </c>
      <c r="G5" s="287" t="s">
        <v>50</v>
      </c>
      <c r="H5" s="290">
        <v>45839</v>
      </c>
      <c r="I5" s="290">
        <v>45839</v>
      </c>
    </row>
    <row r="6" spans="2:9" ht="14.5" x14ac:dyDescent="0.25">
      <c r="B6" s="289">
        <v>51</v>
      </c>
      <c r="C6" s="291" t="s">
        <v>35</v>
      </c>
      <c r="D6" s="291" t="s">
        <v>50</v>
      </c>
      <c r="E6" s="291" t="s">
        <v>50</v>
      </c>
      <c r="F6" s="291" t="s">
        <v>49</v>
      </c>
      <c r="G6" s="291" t="s">
        <v>49</v>
      </c>
      <c r="H6" s="290">
        <v>45839</v>
      </c>
      <c r="I6" s="290">
        <v>45843</v>
      </c>
    </row>
    <row r="7" spans="2:9" ht="14.5" x14ac:dyDescent="0.25">
      <c r="B7" s="289">
        <v>52</v>
      </c>
      <c r="C7" s="291" t="s">
        <v>35</v>
      </c>
      <c r="D7" s="291" t="s">
        <v>50</v>
      </c>
      <c r="E7" s="291" t="s">
        <v>50</v>
      </c>
      <c r="F7" s="291" t="s">
        <v>50</v>
      </c>
      <c r="G7" s="291" t="s">
        <v>192</v>
      </c>
      <c r="H7" s="290">
        <v>45839</v>
      </c>
      <c r="I7" s="290">
        <v>45841</v>
      </c>
    </row>
    <row r="8" spans="2:9" ht="14.5" x14ac:dyDescent="0.25">
      <c r="B8" s="289">
        <v>53</v>
      </c>
      <c r="C8" s="287" t="s">
        <v>72</v>
      </c>
      <c r="D8" s="287" t="s">
        <v>50</v>
      </c>
      <c r="E8" s="287" t="s">
        <v>50</v>
      </c>
      <c r="F8" s="287" t="s">
        <v>49</v>
      </c>
      <c r="G8" s="287" t="s">
        <v>49</v>
      </c>
      <c r="H8" s="288">
        <v>45839</v>
      </c>
      <c r="I8" s="288">
        <v>45841</v>
      </c>
    </row>
    <row r="9" spans="2:9" ht="14.5" x14ac:dyDescent="0.25">
      <c r="B9" s="289">
        <v>54</v>
      </c>
      <c r="C9" s="292" t="s">
        <v>79</v>
      </c>
      <c r="D9" s="287" t="s">
        <v>51</v>
      </c>
      <c r="E9" s="287" t="s">
        <v>51</v>
      </c>
      <c r="F9" s="287" t="s">
        <v>53</v>
      </c>
      <c r="G9" s="287" t="s">
        <v>53</v>
      </c>
      <c r="H9" s="288">
        <v>45839</v>
      </c>
      <c r="I9" s="288">
        <v>45839</v>
      </c>
    </row>
    <row r="10" spans="2:9" ht="14.5" x14ac:dyDescent="0.25">
      <c r="B10" s="289">
        <v>55</v>
      </c>
      <c r="C10" s="292" t="s">
        <v>106</v>
      </c>
      <c r="D10" s="287" t="s">
        <v>50</v>
      </c>
      <c r="E10" s="287" t="s">
        <v>50</v>
      </c>
      <c r="F10" s="287" t="s">
        <v>50</v>
      </c>
      <c r="G10" s="287" t="s">
        <v>50</v>
      </c>
      <c r="H10" s="288">
        <v>45839</v>
      </c>
      <c r="I10" s="288">
        <v>45846</v>
      </c>
    </row>
    <row r="11" spans="2:9" ht="14.5" x14ac:dyDescent="0.25">
      <c r="B11" s="289">
        <v>56</v>
      </c>
      <c r="C11" s="293" t="s">
        <v>36</v>
      </c>
      <c r="D11" s="294" t="s">
        <v>49</v>
      </c>
      <c r="E11" s="294" t="s">
        <v>49</v>
      </c>
      <c r="F11" s="294" t="s">
        <v>49</v>
      </c>
      <c r="G11" s="294" t="s">
        <v>49</v>
      </c>
      <c r="H11" s="295">
        <v>45839</v>
      </c>
      <c r="I11" s="295">
        <v>45841</v>
      </c>
    </row>
    <row r="12" spans="2:9" ht="14.5" x14ac:dyDescent="0.25">
      <c r="B12" s="289">
        <v>57</v>
      </c>
      <c r="C12" s="291" t="s">
        <v>86</v>
      </c>
      <c r="D12" s="287" t="s">
        <v>49</v>
      </c>
      <c r="E12" s="287" t="s">
        <v>49</v>
      </c>
      <c r="F12" s="287" t="s">
        <v>49</v>
      </c>
      <c r="G12" s="287" t="s">
        <v>49</v>
      </c>
      <c r="H12" s="288">
        <v>45839</v>
      </c>
      <c r="I12" s="288">
        <v>45859</v>
      </c>
    </row>
    <row r="13" spans="2:9" ht="14.5" x14ac:dyDescent="0.25">
      <c r="B13" s="286">
        <v>58</v>
      </c>
      <c r="C13" s="287" t="s">
        <v>79</v>
      </c>
      <c r="D13" s="287" t="s">
        <v>50</v>
      </c>
      <c r="E13" s="287" t="s">
        <v>50</v>
      </c>
      <c r="F13" s="287" t="s">
        <v>50</v>
      </c>
      <c r="G13" s="287" t="s">
        <v>50</v>
      </c>
      <c r="H13" s="288">
        <v>45839</v>
      </c>
      <c r="I13" s="288">
        <v>45842</v>
      </c>
    </row>
    <row r="14" spans="2:9" ht="14.5" x14ac:dyDescent="0.25">
      <c r="B14" s="286">
        <v>59</v>
      </c>
      <c r="C14" s="287" t="s">
        <v>79</v>
      </c>
      <c r="D14" s="287" t="s">
        <v>49</v>
      </c>
      <c r="E14" s="287" t="s">
        <v>49</v>
      </c>
      <c r="F14" s="287" t="s">
        <v>49</v>
      </c>
      <c r="G14" s="287" t="s">
        <v>49</v>
      </c>
      <c r="H14" s="288">
        <v>45839</v>
      </c>
      <c r="I14" s="288">
        <v>45839</v>
      </c>
    </row>
    <row r="15" spans="2:9" ht="14.5" x14ac:dyDescent="0.25">
      <c r="B15" s="286">
        <v>60</v>
      </c>
      <c r="C15" s="287" t="s">
        <v>106</v>
      </c>
      <c r="D15" s="287" t="s">
        <v>49</v>
      </c>
      <c r="E15" s="287" t="s">
        <v>49</v>
      </c>
      <c r="F15" s="287" t="s">
        <v>49</v>
      </c>
      <c r="G15" s="287" t="s">
        <v>49</v>
      </c>
      <c r="H15" s="288">
        <v>45839</v>
      </c>
      <c r="I15" s="288">
        <v>45842</v>
      </c>
    </row>
    <row r="18" spans="2:7" x14ac:dyDescent="0.25">
      <c r="B18" t="s">
        <v>224</v>
      </c>
    </row>
    <row r="19" spans="2:7" x14ac:dyDescent="0.25">
      <c r="C19" s="296" t="s">
        <v>223</v>
      </c>
      <c r="D19" s="296" t="s">
        <v>225</v>
      </c>
      <c r="E19" s="296" t="s">
        <v>226</v>
      </c>
      <c r="F19" s="296" t="s">
        <v>227</v>
      </c>
    </row>
    <row r="20" spans="2:7" ht="14.5" x14ac:dyDescent="0.35">
      <c r="B20">
        <v>1</v>
      </c>
      <c r="C20" s="222" t="s">
        <v>34</v>
      </c>
      <c r="D20" s="247" t="s">
        <v>53</v>
      </c>
      <c r="E20" s="220">
        <f>48000*24</f>
        <v>1152000</v>
      </c>
      <c r="F20" s="297">
        <v>45870</v>
      </c>
      <c r="G20" s="220"/>
    </row>
    <row r="21" spans="2:7" ht="14.5" x14ac:dyDescent="0.25">
      <c r="B21">
        <v>2</v>
      </c>
      <c r="C21" s="223" t="s">
        <v>35</v>
      </c>
      <c r="D21" s="296" t="s">
        <v>50</v>
      </c>
      <c r="E21" s="220">
        <f>48000*24*4</f>
        <v>4608000</v>
      </c>
      <c r="F21" s="297">
        <v>45870</v>
      </c>
    </row>
    <row r="22" spans="2:7" ht="14.5" x14ac:dyDescent="0.25">
      <c r="B22">
        <v>3</v>
      </c>
      <c r="C22" s="231" t="s">
        <v>196</v>
      </c>
      <c r="D22" s="296" t="s">
        <v>50</v>
      </c>
      <c r="E22" s="284">
        <f>24000*11*24</f>
        <v>6336000</v>
      </c>
      <c r="F22" s="297">
        <v>45870</v>
      </c>
    </row>
    <row r="23" spans="2:7" ht="14.5" x14ac:dyDescent="0.25">
      <c r="B23">
        <v>4</v>
      </c>
      <c r="C23" s="231" t="s">
        <v>196</v>
      </c>
      <c r="D23" s="296" t="s">
        <v>49</v>
      </c>
      <c r="E23" s="284">
        <f>24000*11*24</f>
        <v>6336000</v>
      </c>
      <c r="F23" s="297">
        <v>45870</v>
      </c>
    </row>
    <row r="24" spans="2:7" ht="14.5" x14ac:dyDescent="0.25">
      <c r="B24">
        <v>5</v>
      </c>
      <c r="C24" s="222" t="s">
        <v>55</v>
      </c>
      <c r="D24" s="296" t="s">
        <v>50</v>
      </c>
      <c r="E24" s="284">
        <f>24000*11*24</f>
        <v>6336000</v>
      </c>
      <c r="F24" s="297">
        <v>45870</v>
      </c>
    </row>
    <row r="25" spans="2:7" ht="14.5" x14ac:dyDescent="0.25">
      <c r="B25">
        <v>6</v>
      </c>
      <c r="C25" s="222" t="s">
        <v>55</v>
      </c>
      <c r="D25" s="296" t="s">
        <v>49</v>
      </c>
      <c r="E25" s="284">
        <f>24000*11*24</f>
        <v>6336000</v>
      </c>
      <c r="F25" s="297">
        <v>45870</v>
      </c>
    </row>
    <row r="26" spans="2:7" ht="14.5" x14ac:dyDescent="0.25">
      <c r="B26">
        <v>7</v>
      </c>
      <c r="C26" s="223" t="s">
        <v>58</v>
      </c>
      <c r="D26" s="296" t="s">
        <v>192</v>
      </c>
      <c r="E26" s="284">
        <f>12000*11*24</f>
        <v>3168000</v>
      </c>
      <c r="F26" s="297">
        <v>45870</v>
      </c>
    </row>
    <row r="27" spans="2:7" ht="14.5" x14ac:dyDescent="0.25">
      <c r="B27">
        <v>8</v>
      </c>
      <c r="C27" s="223" t="s">
        <v>58</v>
      </c>
      <c r="D27" s="296" t="s">
        <v>50</v>
      </c>
      <c r="E27" s="284">
        <f>36000*11*24</f>
        <v>9504000</v>
      </c>
      <c r="F27" s="297">
        <v>45870</v>
      </c>
    </row>
    <row r="28" spans="2:7" x14ac:dyDescent="0.25">
      <c r="D28" s="296"/>
      <c r="E28" s="284"/>
    </row>
    <row r="29" spans="2:7" x14ac:dyDescent="0.25">
      <c r="D29" s="296"/>
      <c r="E29" s="284"/>
    </row>
    <row r="30" spans="2:7" x14ac:dyDescent="0.25">
      <c r="D30" s="296"/>
    </row>
    <row r="31" spans="2:7" x14ac:dyDescent="0.25">
      <c r="D31" s="296"/>
    </row>
    <row r="32" spans="2:7" x14ac:dyDescent="0.25">
      <c r="D32" s="296"/>
    </row>
    <row r="33" spans="4:4" x14ac:dyDescent="0.25">
      <c r="D33" s="296"/>
    </row>
    <row r="34" spans="4:4" x14ac:dyDescent="0.25">
      <c r="D34" s="296"/>
    </row>
    <row r="35" spans="4:4" x14ac:dyDescent="0.25">
      <c r="D35" s="296"/>
    </row>
    <row r="36" spans="4:4" x14ac:dyDescent="0.25">
      <c r="D36" s="296"/>
    </row>
  </sheetData>
  <conditionalFormatting sqref="C5">
    <cfRule type="expression" dxfId="28" priority="22" stopIfTrue="1">
      <formula>AND(COUNTIF($A$1:$A$37, C5)+COUNTIF($A$41:$A$65489, C5)&gt;1,NOT(ISBLANK(C5)))</formula>
    </cfRule>
    <cfRule type="expression" dxfId="27" priority="23" stopIfTrue="1">
      <formula>AND(COUNTIF($A$1:$A$51, C5)+COUNTIF($A$58:$A$65489, C5)&gt;1,NOT(ISBLANK(C5)))</formula>
    </cfRule>
  </conditionalFormatting>
  <conditionalFormatting sqref="C6">
    <cfRule type="expression" dxfId="26" priority="20" stopIfTrue="1">
      <formula>AND(COUNTIF($A$1:$A$90, C6)+COUNTIF($A$105:$A$65502, C6)&gt;1,NOT(ISBLANK(C6)))</formula>
    </cfRule>
    <cfRule type="expression" dxfId="25" priority="21" stopIfTrue="1">
      <formula>AND(COUNTIF($A$1:$A$110, C6)+COUNTIF($A$25:$A$65502, C6)&gt;1,NOT(ISBLANK(C6)))</formula>
    </cfRule>
  </conditionalFormatting>
  <conditionalFormatting sqref="C7">
    <cfRule type="expression" dxfId="24" priority="18" stopIfTrue="1">
      <formula>AND(COUNTIF($A$1:$A$89, C7)+COUNTIF($A$104:$A$65501, C7)&gt;1,NOT(ISBLANK(C7)))</formula>
    </cfRule>
    <cfRule type="expression" dxfId="23" priority="19" stopIfTrue="1">
      <formula>AND(COUNTIF($A$1:$A$109, C7)+COUNTIF($A$29:$A$65501, C7)&gt;1,NOT(ISBLANK(C7)))</formula>
    </cfRule>
  </conditionalFormatting>
  <conditionalFormatting sqref="C8">
    <cfRule type="expression" dxfId="22" priority="17" stopIfTrue="1">
      <formula>AND(COUNTIF($A$1:$A$99, C8)+COUNTIF($A$106:$A$65498, C8)&gt;1,NOT(ISBLANK(C8)))</formula>
    </cfRule>
  </conditionalFormatting>
  <conditionalFormatting sqref="C12">
    <cfRule type="expression" dxfId="21" priority="15" stopIfTrue="1">
      <formula>AND(COUNTIF($A$1:$A$27, C12)+COUNTIF($A$29:$A$65555, C12)&gt;1,NOT(ISBLANK(C12)))</formula>
    </cfRule>
    <cfRule type="expression" dxfId="20" priority="16" stopIfTrue="1">
      <formula>AND(COUNTIF($A$1:$A$44, C12)+COUNTIF($A$49:$A$65555, C12)&gt;1,NOT(ISBLANK(C12)))</formula>
    </cfRule>
  </conditionalFormatting>
  <conditionalFormatting sqref="C20">
    <cfRule type="expression" dxfId="19" priority="13" stopIfTrue="1">
      <formula>AND(COUNTIF($A$1:$A$27, C20)+COUNTIF($A$32:$A$65549, C20)&gt;1,NOT(ISBLANK(C20)))</formula>
    </cfRule>
    <cfRule type="expression" dxfId="18" priority="14" stopIfTrue="1">
      <formula>AND(COUNTIF($A$1:$A$37, C20)+COUNTIF($A$39:$A$65549, C20)&gt;1,NOT(ISBLANK(C20)))</formula>
    </cfRule>
  </conditionalFormatting>
  <conditionalFormatting sqref="C21">
    <cfRule type="expression" dxfId="17" priority="11" stopIfTrue="1">
      <formula>AND(COUNTIF($A$1:$A$86, C21)+COUNTIF($A$100:$A$65572, C21)&gt;1,NOT(ISBLANK(C21)))</formula>
    </cfRule>
    <cfRule type="expression" dxfId="16" priority="12" stopIfTrue="1">
      <formula>AND(COUNTIF($A$1:$A$105, C21)+COUNTIF($A$27:$A$65572, C21)&gt;1,NOT(ISBLANK(C21)))</formula>
    </cfRule>
  </conditionalFormatting>
  <conditionalFormatting sqref="C22:C23">
    <cfRule type="expression" dxfId="15" priority="7" stopIfTrue="1">
      <formula>AND(COUNTIF($A$1:$A$100, C22)+COUNTIF($A$39:$A$65499, C22)&gt;1,NOT(ISBLANK(C22)))</formula>
    </cfRule>
    <cfRule type="expression" dxfId="14" priority="8" stopIfTrue="1">
      <formula>AND(COUNTIF($A$1:$A$100, C22)+COUNTIF($A$101:$A$65499, C22)&gt;1,NOT(ISBLANK(C22)))</formula>
    </cfRule>
  </conditionalFormatting>
  <conditionalFormatting sqref="C24:C25">
    <cfRule type="expression" dxfId="13" priority="5" stopIfTrue="1">
      <formula>AND(COUNTIF($A$1:$A$20, C24)+COUNTIF($A$21:$A$65539, C24)&gt;1,NOT(ISBLANK(C24)))</formula>
    </cfRule>
    <cfRule type="expression" dxfId="12" priority="6" stopIfTrue="1">
      <formula>AND(COUNTIF($A$1:$A$31, C24)+COUNTIF($A$37:$A$65539, C24)&gt;1,NOT(ISBLANK(C24)))</formula>
    </cfRule>
  </conditionalFormatting>
  <conditionalFormatting sqref="C26:C27">
    <cfRule type="expression" dxfId="11" priority="3" stopIfTrue="1">
      <formula>AND(COUNTIF($A$1:$A$24, C26)+COUNTIF($A$26:$A$65545, C26)&gt;1,NOT(ISBLANK(C26)))</formula>
    </cfRule>
    <cfRule type="expression" dxfId="10" priority="4" stopIfTrue="1">
      <formula>AND(COUNTIF($A$1:$A$36, C26)+COUNTIF($A$9:$A$65545, C26)&gt;1,NOT(ISBLANK(C26)))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B0BA-1F85-4715-BA32-DA2D239766B6}">
  <dimension ref="A1:AE54"/>
  <sheetViews>
    <sheetView zoomScale="110" zoomScaleNormal="110" workbookViewId="0">
      <selection activeCell="C4" sqref="C4:C18"/>
    </sheetView>
  </sheetViews>
  <sheetFormatPr defaultRowHeight="12.5" outlineLevelCol="1" x14ac:dyDescent="0.25"/>
  <cols>
    <col min="1" max="1" width="12.36328125" bestFit="1" customWidth="1"/>
    <col min="2" max="7" width="7.26953125" bestFit="1" customWidth="1"/>
    <col min="8" max="8" width="10.36328125" bestFit="1" customWidth="1" outlineLevel="1"/>
    <col min="9" max="11" width="10.1796875" bestFit="1" customWidth="1" outlineLevel="1"/>
    <col min="12" max="12" width="10.36328125" bestFit="1" customWidth="1" outlineLevel="1"/>
    <col min="13" max="13" width="11.453125" customWidth="1" outlineLevel="1"/>
    <col min="14" max="14" width="30.54296875" bestFit="1" customWidth="1" outlineLevel="1"/>
    <col min="15" max="15" width="4.81640625" bestFit="1" customWidth="1" outlineLevel="1"/>
    <col min="16" max="16" width="10.453125" customWidth="1" outlineLevel="1"/>
    <col min="17" max="17" width="30.7265625" bestFit="1" customWidth="1"/>
    <col min="18" max="18" width="4.81640625" bestFit="1" customWidth="1"/>
    <col min="19" max="28" width="10.54296875" customWidth="1"/>
  </cols>
  <sheetData>
    <row r="1" spans="1:28" ht="25" x14ac:dyDescent="0.5">
      <c r="A1" s="16" t="s">
        <v>28</v>
      </c>
      <c r="S1">
        <v>11</v>
      </c>
      <c r="T1">
        <v>19</v>
      </c>
      <c r="U1">
        <v>9</v>
      </c>
      <c r="V1">
        <v>11</v>
      </c>
      <c r="W1">
        <v>19</v>
      </c>
      <c r="Z1">
        <v>19</v>
      </c>
    </row>
    <row r="2" spans="1:28" ht="13" thickBot="1" x14ac:dyDescent="0.3">
      <c r="N2" s="116" t="s">
        <v>40</v>
      </c>
      <c r="O2" s="121"/>
    </row>
    <row r="3" spans="1:28" ht="13" thickBot="1" x14ac:dyDescent="0.3">
      <c r="A3" s="116" t="s">
        <v>29</v>
      </c>
      <c r="B3" s="116" t="s">
        <v>19</v>
      </c>
      <c r="C3" s="117"/>
      <c r="D3" s="117"/>
      <c r="E3" s="118"/>
      <c r="N3" s="116" t="s">
        <v>8</v>
      </c>
      <c r="O3" s="121" t="s">
        <v>38</v>
      </c>
      <c r="Q3" s="18" t="s">
        <v>30</v>
      </c>
      <c r="R3" s="19" t="s">
        <v>31</v>
      </c>
      <c r="S3" s="20" t="s">
        <v>26</v>
      </c>
      <c r="T3" s="20" t="s">
        <v>24</v>
      </c>
      <c r="U3" s="21" t="s">
        <v>22</v>
      </c>
      <c r="V3" s="21" t="s">
        <v>25</v>
      </c>
      <c r="W3" s="22" t="s">
        <v>23</v>
      </c>
      <c r="X3" s="22"/>
      <c r="Y3" s="22"/>
      <c r="Z3" s="22" t="s">
        <v>27</v>
      </c>
      <c r="AA3" s="22" t="s">
        <v>21</v>
      </c>
      <c r="AB3" s="23" t="s">
        <v>32</v>
      </c>
    </row>
    <row r="4" spans="1:28" x14ac:dyDescent="0.25">
      <c r="A4" s="116" t="s">
        <v>13</v>
      </c>
      <c r="B4" s="119" t="s">
        <v>52</v>
      </c>
      <c r="C4" s="120" t="s">
        <v>24</v>
      </c>
      <c r="D4" s="120" t="s">
        <v>23</v>
      </c>
      <c r="E4" s="121" t="s">
        <v>32</v>
      </c>
      <c r="N4" s="119" t="s">
        <v>39</v>
      </c>
      <c r="O4" s="121"/>
      <c r="Q4" s="25" t="s">
        <v>42</v>
      </c>
      <c r="R4" s="23">
        <v>9</v>
      </c>
      <c r="S4" s="20">
        <v>0</v>
      </c>
      <c r="T4" s="20">
        <v>0</v>
      </c>
      <c r="U4" s="21">
        <v>2</v>
      </c>
      <c r="V4" s="21">
        <v>0</v>
      </c>
      <c r="W4" s="22">
        <v>0</v>
      </c>
      <c r="X4" s="22"/>
      <c r="Y4" s="22"/>
      <c r="Z4" s="22">
        <v>0</v>
      </c>
      <c r="AA4" s="22">
        <v>9</v>
      </c>
      <c r="AB4" s="26">
        <f t="shared" ref="AB4:AB9" si="0">SUM(S4:AA4)</f>
        <v>11</v>
      </c>
    </row>
    <row r="5" spans="1:28" x14ac:dyDescent="0.25">
      <c r="A5" s="128">
        <v>45842</v>
      </c>
      <c r="B5" s="119">
        <v>1</v>
      </c>
      <c r="C5" s="120"/>
      <c r="D5" s="120"/>
      <c r="E5" s="121">
        <v>1</v>
      </c>
      <c r="N5" s="122" t="s">
        <v>41</v>
      </c>
      <c r="O5" s="123">
        <v>4</v>
      </c>
      <c r="Q5" s="27"/>
      <c r="R5" s="28"/>
      <c r="S5" s="29"/>
      <c r="T5" s="29"/>
      <c r="U5" s="15"/>
      <c r="V5" s="15"/>
      <c r="W5" s="30"/>
      <c r="X5" s="30"/>
      <c r="Y5" s="30"/>
      <c r="Z5" s="30"/>
      <c r="AA5" s="15"/>
      <c r="AB5" s="31">
        <f t="shared" si="0"/>
        <v>0</v>
      </c>
    </row>
    <row r="6" spans="1:28" x14ac:dyDescent="0.25">
      <c r="A6" s="127">
        <v>45844</v>
      </c>
      <c r="B6" s="122"/>
      <c r="C6">
        <v>1</v>
      </c>
      <c r="E6" s="123">
        <v>1</v>
      </c>
      <c r="N6" s="122" t="s">
        <v>34</v>
      </c>
      <c r="O6" s="123">
        <v>4</v>
      </c>
      <c r="Q6" s="27"/>
      <c r="R6" s="31"/>
      <c r="S6" s="15"/>
      <c r="T6" s="15"/>
      <c r="U6" s="15"/>
      <c r="V6" s="15"/>
      <c r="W6" s="15"/>
      <c r="X6" s="15"/>
      <c r="Y6" s="15"/>
      <c r="Z6" s="15"/>
      <c r="AA6" s="15"/>
      <c r="AB6" s="28">
        <f t="shared" si="0"/>
        <v>0</v>
      </c>
    </row>
    <row r="7" spans="1:28" x14ac:dyDescent="0.25">
      <c r="A7" s="127">
        <v>45845</v>
      </c>
      <c r="B7" s="122"/>
      <c r="D7">
        <v>1</v>
      </c>
      <c r="E7" s="123">
        <v>1</v>
      </c>
      <c r="N7" s="122" t="s">
        <v>56</v>
      </c>
      <c r="O7" s="123">
        <v>11</v>
      </c>
      <c r="Q7" s="27"/>
      <c r="R7" s="31"/>
      <c r="S7" s="15"/>
      <c r="T7" s="15"/>
      <c r="U7" s="15"/>
      <c r="V7" s="15"/>
      <c r="W7" s="15"/>
      <c r="X7" s="15"/>
      <c r="Y7" s="15"/>
      <c r="Z7" s="15"/>
      <c r="AA7" s="15"/>
      <c r="AB7" s="28">
        <f t="shared" si="0"/>
        <v>0</v>
      </c>
    </row>
    <row r="8" spans="1:28" x14ac:dyDescent="0.25">
      <c r="A8" s="127">
        <v>45846</v>
      </c>
      <c r="B8" s="122"/>
      <c r="C8">
        <v>1</v>
      </c>
      <c r="E8" s="123">
        <v>1</v>
      </c>
      <c r="N8" s="122" t="s">
        <v>45</v>
      </c>
      <c r="O8" s="123">
        <v>4</v>
      </c>
      <c r="Q8" s="33"/>
      <c r="R8" s="31"/>
      <c r="S8" s="15"/>
      <c r="T8" s="15"/>
      <c r="U8" s="15"/>
      <c r="V8" s="15"/>
      <c r="W8" s="15"/>
      <c r="X8" s="15"/>
      <c r="Y8" s="15"/>
      <c r="Z8" s="15"/>
      <c r="AA8" s="15"/>
      <c r="AB8" s="28">
        <f t="shared" si="0"/>
        <v>0</v>
      </c>
    </row>
    <row r="9" spans="1:28" x14ac:dyDescent="0.25">
      <c r="A9" s="124" t="s">
        <v>32</v>
      </c>
      <c r="B9" s="124">
        <v>1</v>
      </c>
      <c r="C9" s="125">
        <v>2</v>
      </c>
      <c r="D9" s="125">
        <v>1</v>
      </c>
      <c r="E9" s="126">
        <v>4</v>
      </c>
      <c r="N9" s="122" t="s">
        <v>79</v>
      </c>
      <c r="O9" s="123">
        <v>1</v>
      </c>
      <c r="Q9" s="33"/>
      <c r="R9" s="31"/>
      <c r="S9" s="15"/>
      <c r="T9" s="15"/>
      <c r="U9" s="15"/>
      <c r="V9" s="15"/>
      <c r="W9" s="15"/>
      <c r="X9" s="15"/>
      <c r="Y9" s="15"/>
      <c r="Z9" s="15"/>
      <c r="AA9" s="15"/>
      <c r="AB9" s="28">
        <f t="shared" si="0"/>
        <v>0</v>
      </c>
    </row>
    <row r="10" spans="1:28" x14ac:dyDescent="0.25">
      <c r="N10" s="122" t="s">
        <v>76</v>
      </c>
      <c r="O10" s="123">
        <v>5</v>
      </c>
    </row>
    <row r="11" spans="1:28" x14ac:dyDescent="0.25">
      <c r="N11" s="122" t="s">
        <v>43</v>
      </c>
      <c r="O11" s="123">
        <v>1</v>
      </c>
      <c r="Q11" s="34" t="str">
        <f t="shared" ref="Q11:Q16" si="1">Q4</f>
        <v>REV 0 DRAFT@20.08</v>
      </c>
      <c r="R11" s="34"/>
      <c r="S11" s="34">
        <f>S4*S$1</f>
        <v>0</v>
      </c>
      <c r="T11" s="34">
        <f>T4*T$1</f>
        <v>0</v>
      </c>
      <c r="U11" s="34">
        <f>U4*U$1</f>
        <v>18</v>
      </c>
      <c r="V11" s="34">
        <f>V4*V$1</f>
        <v>0</v>
      </c>
      <c r="W11" s="34">
        <f>W4*W$1</f>
        <v>0</v>
      </c>
      <c r="X11" s="34"/>
      <c r="Y11" s="34"/>
      <c r="Z11" s="34">
        <f>Z4*Z$1</f>
        <v>0</v>
      </c>
      <c r="AA11" s="34">
        <f>AA4*AA$1</f>
        <v>0</v>
      </c>
      <c r="AB11" s="34">
        <f t="shared" ref="AB11:AB16" si="2">SUM(S11:AA11)</f>
        <v>18</v>
      </c>
    </row>
    <row r="12" spans="1:28" x14ac:dyDescent="0.25">
      <c r="N12" s="122" t="s">
        <v>81</v>
      </c>
      <c r="O12" s="123">
        <v>10</v>
      </c>
      <c r="Q12" s="34">
        <f t="shared" si="1"/>
        <v>0</v>
      </c>
      <c r="R12" s="34"/>
      <c r="S12" s="34">
        <f t="shared" ref="S12:V14" si="3">S5*S$1</f>
        <v>0</v>
      </c>
      <c r="T12" s="34">
        <f t="shared" si="3"/>
        <v>0</v>
      </c>
      <c r="U12" s="34">
        <f t="shared" si="3"/>
        <v>0</v>
      </c>
      <c r="V12" s="34">
        <f t="shared" si="3"/>
        <v>0</v>
      </c>
      <c r="W12" s="34">
        <f t="shared" ref="W12:AA14" si="4">W5*W$1</f>
        <v>0</v>
      </c>
      <c r="X12" s="34"/>
      <c r="Y12" s="34"/>
      <c r="Z12" s="34">
        <f t="shared" si="4"/>
        <v>0</v>
      </c>
      <c r="AA12" s="34">
        <f t="shared" si="4"/>
        <v>0</v>
      </c>
      <c r="AB12" s="34">
        <f t="shared" si="2"/>
        <v>0</v>
      </c>
    </row>
    <row r="13" spans="1:28" x14ac:dyDescent="0.25">
      <c r="N13" s="122" t="s">
        <v>61</v>
      </c>
      <c r="O13" s="123">
        <v>1</v>
      </c>
      <c r="Q13" s="34">
        <f t="shared" si="1"/>
        <v>0</v>
      </c>
      <c r="R13" s="34"/>
      <c r="S13" s="34">
        <f t="shared" si="3"/>
        <v>0</v>
      </c>
      <c r="T13" s="34">
        <f t="shared" si="3"/>
        <v>0</v>
      </c>
      <c r="U13" s="34">
        <f t="shared" si="3"/>
        <v>0</v>
      </c>
      <c r="V13" s="34">
        <f t="shared" si="3"/>
        <v>0</v>
      </c>
      <c r="W13" s="34">
        <f t="shared" si="4"/>
        <v>0</v>
      </c>
      <c r="X13" s="34"/>
      <c r="Y13" s="34"/>
      <c r="Z13" s="34">
        <f t="shared" si="4"/>
        <v>0</v>
      </c>
      <c r="AA13" s="34">
        <f t="shared" si="4"/>
        <v>0</v>
      </c>
      <c r="AB13" s="34">
        <f t="shared" si="2"/>
        <v>0</v>
      </c>
    </row>
    <row r="14" spans="1:28" x14ac:dyDescent="0.25">
      <c r="N14" s="122" t="s">
        <v>75</v>
      </c>
      <c r="O14" s="123">
        <v>3</v>
      </c>
      <c r="Q14" s="34">
        <f t="shared" si="1"/>
        <v>0</v>
      </c>
      <c r="R14" s="34"/>
      <c r="S14" s="34">
        <f t="shared" si="3"/>
        <v>0</v>
      </c>
      <c r="T14" s="34">
        <f t="shared" si="3"/>
        <v>0</v>
      </c>
      <c r="U14" s="34">
        <f t="shared" si="3"/>
        <v>0</v>
      </c>
      <c r="V14" s="34">
        <f t="shared" si="3"/>
        <v>0</v>
      </c>
      <c r="W14" s="34">
        <f t="shared" si="4"/>
        <v>0</v>
      </c>
      <c r="X14" s="34"/>
      <c r="Y14" s="34"/>
      <c r="Z14" s="34">
        <f t="shared" si="4"/>
        <v>0</v>
      </c>
      <c r="AA14" s="34">
        <f t="shared" si="4"/>
        <v>0</v>
      </c>
      <c r="AB14" s="34">
        <f t="shared" si="2"/>
        <v>0</v>
      </c>
    </row>
    <row r="15" spans="1:28" x14ac:dyDescent="0.25">
      <c r="N15" s="122" t="s">
        <v>86</v>
      </c>
      <c r="O15" s="123">
        <v>6</v>
      </c>
      <c r="Q15" s="34">
        <f t="shared" si="1"/>
        <v>0</v>
      </c>
      <c r="R15" s="34"/>
      <c r="S15" s="34">
        <f t="shared" ref="S15:AA15" si="5">S8*S$1</f>
        <v>0</v>
      </c>
      <c r="T15" s="34">
        <f t="shared" si="5"/>
        <v>0</v>
      </c>
      <c r="U15" s="34">
        <f t="shared" si="5"/>
        <v>0</v>
      </c>
      <c r="V15" s="34">
        <f t="shared" si="5"/>
        <v>0</v>
      </c>
      <c r="W15" s="34">
        <f t="shared" si="5"/>
        <v>0</v>
      </c>
      <c r="X15" s="34"/>
      <c r="Y15" s="34"/>
      <c r="Z15" s="34">
        <f t="shared" si="5"/>
        <v>0</v>
      </c>
      <c r="AA15" s="34">
        <f t="shared" si="5"/>
        <v>0</v>
      </c>
      <c r="AB15" s="34">
        <f t="shared" si="2"/>
        <v>0</v>
      </c>
    </row>
    <row r="16" spans="1:28" x14ac:dyDescent="0.25">
      <c r="N16" s="122" t="s">
        <v>55</v>
      </c>
      <c r="O16" s="123">
        <v>5</v>
      </c>
      <c r="Q16" s="34">
        <f t="shared" si="1"/>
        <v>0</v>
      </c>
      <c r="R16" s="34"/>
      <c r="S16" s="34">
        <f t="shared" ref="S16:AA16" si="6">S9*S$1</f>
        <v>0</v>
      </c>
      <c r="T16" s="34">
        <f t="shared" si="6"/>
        <v>0</v>
      </c>
      <c r="U16" s="34">
        <f t="shared" si="6"/>
        <v>0</v>
      </c>
      <c r="V16" s="34">
        <f t="shared" si="6"/>
        <v>0</v>
      </c>
      <c r="W16" s="34">
        <f t="shared" si="6"/>
        <v>0</v>
      </c>
      <c r="X16" s="34"/>
      <c r="Y16" s="34"/>
      <c r="Z16" s="34">
        <f t="shared" si="6"/>
        <v>0</v>
      </c>
      <c r="AA16" s="34">
        <f t="shared" si="6"/>
        <v>0</v>
      </c>
      <c r="AB16" s="34">
        <f t="shared" si="2"/>
        <v>0</v>
      </c>
    </row>
    <row r="17" spans="2:15" x14ac:dyDescent="0.25">
      <c r="N17" s="122" t="s">
        <v>47</v>
      </c>
      <c r="O17" s="123">
        <v>2</v>
      </c>
    </row>
    <row r="18" spans="2:15" x14ac:dyDescent="0.25">
      <c r="B18">
        <v>4</v>
      </c>
      <c r="C18">
        <v>10</v>
      </c>
      <c r="D18">
        <v>8</v>
      </c>
      <c r="E18">
        <v>1</v>
      </c>
      <c r="N18" s="122" t="s">
        <v>36</v>
      </c>
      <c r="O18" s="123">
        <v>1</v>
      </c>
    </row>
    <row r="19" spans="2:15" x14ac:dyDescent="0.25">
      <c r="N19" s="124" t="s">
        <v>32</v>
      </c>
      <c r="O19" s="126">
        <v>58</v>
      </c>
    </row>
    <row r="34" spans="1:31" ht="25" x14ac:dyDescent="0.5">
      <c r="A34" s="16" t="s">
        <v>33</v>
      </c>
    </row>
    <row r="36" spans="1:31" ht="13" thickBot="1" x14ac:dyDescent="0.3"/>
    <row r="37" spans="1:31" ht="13" thickBot="1" x14ac:dyDescent="0.3">
      <c r="A37" s="116" t="s">
        <v>29</v>
      </c>
      <c r="B37" s="116" t="s">
        <v>19</v>
      </c>
      <c r="C37" s="117"/>
      <c r="D37" s="117"/>
      <c r="E37" s="117"/>
      <c r="F37" s="117"/>
      <c r="G37" s="117"/>
      <c r="H37" s="118"/>
      <c r="P37" s="24"/>
      <c r="Q37" s="116" t="s">
        <v>40</v>
      </c>
      <c r="R37" s="121"/>
      <c r="T37" s="18" t="s">
        <v>30</v>
      </c>
      <c r="U37" s="19" t="s">
        <v>31</v>
      </c>
      <c r="V37" s="20" t="s">
        <v>26</v>
      </c>
      <c r="W37" s="20" t="s">
        <v>24</v>
      </c>
      <c r="X37" s="20" t="s">
        <v>27</v>
      </c>
      <c r="Y37" s="20" t="s">
        <v>48</v>
      </c>
      <c r="Z37" s="21" t="s">
        <v>22</v>
      </c>
      <c r="AA37" s="21" t="s">
        <v>25</v>
      </c>
      <c r="AB37" s="22" t="s">
        <v>23</v>
      </c>
      <c r="AC37" s="22" t="s">
        <v>27</v>
      </c>
      <c r="AD37" s="22" t="s">
        <v>21</v>
      </c>
      <c r="AE37" s="23" t="s">
        <v>32</v>
      </c>
    </row>
    <row r="38" spans="1:31" x14ac:dyDescent="0.25">
      <c r="A38" s="116" t="s">
        <v>13</v>
      </c>
      <c r="B38" s="119" t="s">
        <v>52</v>
      </c>
      <c r="C38" s="120" t="s">
        <v>85</v>
      </c>
      <c r="D38" s="120" t="s">
        <v>24</v>
      </c>
      <c r="E38" s="120" t="s">
        <v>78</v>
      </c>
      <c r="F38" s="120" t="s">
        <v>48</v>
      </c>
      <c r="G38" s="120" t="s">
        <v>100</v>
      </c>
      <c r="H38" s="121" t="s">
        <v>32</v>
      </c>
      <c r="P38" s="17"/>
      <c r="Q38" s="116" t="s">
        <v>8</v>
      </c>
      <c r="R38" s="121" t="s">
        <v>38</v>
      </c>
      <c r="T38" s="33" t="str">
        <f>Q4</f>
        <v>REV 0 DRAFT@20.08</v>
      </c>
      <c r="U38" s="31">
        <v>11</v>
      </c>
      <c r="V38" s="35"/>
      <c r="W38" s="35">
        <v>3</v>
      </c>
      <c r="X38" s="35"/>
      <c r="Y38" s="35">
        <v>1</v>
      </c>
      <c r="Z38" s="36">
        <v>22</v>
      </c>
      <c r="AA38" s="36">
        <v>2</v>
      </c>
      <c r="AB38" s="37">
        <v>2</v>
      </c>
      <c r="AC38" s="37"/>
      <c r="AD38" s="37">
        <v>4</v>
      </c>
      <c r="AE38" s="26">
        <f>SUM(V38:AD38)</f>
        <v>34</v>
      </c>
    </row>
    <row r="39" spans="1:31" x14ac:dyDescent="0.25">
      <c r="A39" s="119" t="s">
        <v>89</v>
      </c>
      <c r="B39" s="119">
        <v>1</v>
      </c>
      <c r="C39" s="120"/>
      <c r="D39" s="120"/>
      <c r="E39" s="120"/>
      <c r="F39" s="120"/>
      <c r="G39" s="120"/>
      <c r="H39" s="121">
        <v>1</v>
      </c>
      <c r="P39" s="17"/>
      <c r="Q39" s="119" t="s">
        <v>36</v>
      </c>
      <c r="R39" s="121">
        <v>17</v>
      </c>
      <c r="T39" s="33">
        <f>Q5</f>
        <v>0</v>
      </c>
      <c r="U39" s="31"/>
      <c r="V39" s="15"/>
      <c r="W39" s="15"/>
      <c r="X39" s="15"/>
      <c r="Y39" s="15"/>
      <c r="Z39" s="15"/>
      <c r="AA39" s="15"/>
      <c r="AB39" s="15"/>
      <c r="AC39" s="15"/>
      <c r="AD39" s="15"/>
      <c r="AE39" s="31">
        <f>SUM(V39:AD39)</f>
        <v>0</v>
      </c>
    </row>
    <row r="40" spans="1:31" x14ac:dyDescent="0.25">
      <c r="A40" s="122" t="s">
        <v>94</v>
      </c>
      <c r="B40" s="122"/>
      <c r="D40">
        <v>1</v>
      </c>
      <c r="H40" s="123">
        <v>1</v>
      </c>
      <c r="P40" s="32"/>
      <c r="Q40" s="122" t="s">
        <v>39</v>
      </c>
      <c r="R40" s="123"/>
      <c r="T40" s="33">
        <f>Q6</f>
        <v>0</v>
      </c>
      <c r="U40" s="31"/>
      <c r="V40" s="15"/>
      <c r="W40" s="15"/>
      <c r="X40" s="15"/>
      <c r="Y40" s="15"/>
      <c r="Z40" s="15"/>
      <c r="AA40" s="15"/>
      <c r="AB40" s="15"/>
      <c r="AC40" s="15"/>
      <c r="AD40" s="15"/>
      <c r="AE40" s="31">
        <f>SUM(V40:AD40)</f>
        <v>0</v>
      </c>
    </row>
    <row r="41" spans="1:31" x14ac:dyDescent="0.25">
      <c r="A41" s="122" t="s">
        <v>90</v>
      </c>
      <c r="B41" s="122"/>
      <c r="E41">
        <v>1</v>
      </c>
      <c r="H41" s="123">
        <v>1</v>
      </c>
      <c r="P41" s="32"/>
      <c r="Q41" s="122" t="s">
        <v>20</v>
      </c>
      <c r="R41" s="123">
        <v>3</v>
      </c>
      <c r="T41" s="33">
        <f>Q7</f>
        <v>0</v>
      </c>
      <c r="U41" s="31"/>
      <c r="V41" s="15"/>
      <c r="W41" s="15"/>
      <c r="X41" s="15"/>
      <c r="Y41" s="15"/>
      <c r="Z41" s="15"/>
      <c r="AA41" s="15"/>
      <c r="AB41" s="15"/>
      <c r="AC41" s="15"/>
      <c r="AD41" s="15"/>
      <c r="AE41" s="31">
        <f>SUM(V41:AD41)</f>
        <v>0</v>
      </c>
    </row>
    <row r="42" spans="1:31" x14ac:dyDescent="0.25">
      <c r="A42" s="122" t="s">
        <v>91</v>
      </c>
      <c r="B42" s="122"/>
      <c r="C42">
        <v>1</v>
      </c>
      <c r="H42" s="123">
        <v>1</v>
      </c>
      <c r="P42" s="32"/>
      <c r="Q42" s="122" t="s">
        <v>43</v>
      </c>
      <c r="R42" s="123">
        <v>1</v>
      </c>
      <c r="T42" s="33">
        <f>Q8</f>
        <v>0</v>
      </c>
      <c r="U42" s="31"/>
      <c r="V42" s="15"/>
      <c r="W42" s="15"/>
      <c r="X42" s="15"/>
      <c r="Y42" s="15"/>
      <c r="Z42" s="15"/>
      <c r="AA42" s="15"/>
      <c r="AB42" s="15"/>
      <c r="AC42" s="15"/>
      <c r="AD42" s="15"/>
      <c r="AE42" s="31">
        <f>SUM(V42:AD42)</f>
        <v>0</v>
      </c>
    </row>
    <row r="43" spans="1:31" x14ac:dyDescent="0.25">
      <c r="A43" s="122" t="s">
        <v>92</v>
      </c>
      <c r="B43" s="122"/>
      <c r="F43">
        <v>1</v>
      </c>
      <c r="H43" s="123">
        <v>1</v>
      </c>
      <c r="P43" s="32"/>
      <c r="Q43" s="122" t="s">
        <v>59</v>
      </c>
      <c r="R43" s="123">
        <v>3</v>
      </c>
    </row>
    <row r="44" spans="1:31" x14ac:dyDescent="0.25">
      <c r="A44" s="122" t="s">
        <v>96</v>
      </c>
      <c r="B44" s="122"/>
      <c r="C44">
        <v>1</v>
      </c>
      <c r="H44" s="123">
        <v>1</v>
      </c>
      <c r="P44" s="32"/>
      <c r="Q44" s="122" t="s">
        <v>70</v>
      </c>
      <c r="R44" s="123">
        <v>1</v>
      </c>
      <c r="T44" s="34" t="str">
        <f>Q4</f>
        <v>REV 0 DRAFT@20.08</v>
      </c>
      <c r="U44" s="34"/>
      <c r="V44" s="34">
        <f t="shared" ref="V44:W48" si="7">V38*S$1</f>
        <v>0</v>
      </c>
      <c r="W44" s="34">
        <f t="shared" si="7"/>
        <v>57</v>
      </c>
      <c r="X44" s="34"/>
      <c r="Y44" s="34"/>
      <c r="Z44" s="34">
        <f t="shared" ref="Z44:AB48" si="8">Z38*U$1</f>
        <v>198</v>
      </c>
      <c r="AA44" s="34">
        <f t="shared" si="8"/>
        <v>22</v>
      </c>
      <c r="AB44" s="34">
        <f t="shared" si="8"/>
        <v>38</v>
      </c>
      <c r="AC44" s="34">
        <f t="shared" ref="AC44:AD48" si="9">AC38*Z$1</f>
        <v>0</v>
      </c>
      <c r="AD44" s="34">
        <f t="shared" si="9"/>
        <v>0</v>
      </c>
      <c r="AE44" s="34">
        <f>SUM(V44:AD44)</f>
        <v>315</v>
      </c>
    </row>
    <row r="45" spans="1:31" x14ac:dyDescent="0.25">
      <c r="A45" s="122" t="s">
        <v>93</v>
      </c>
      <c r="B45" s="122">
        <v>1</v>
      </c>
      <c r="H45" s="123">
        <v>1</v>
      </c>
      <c r="P45" s="32"/>
      <c r="Q45" s="122" t="s">
        <v>55</v>
      </c>
      <c r="R45" s="123">
        <v>2</v>
      </c>
      <c r="T45" s="34">
        <f>Q5</f>
        <v>0</v>
      </c>
      <c r="U45" s="34"/>
      <c r="V45" s="34">
        <f t="shared" si="7"/>
        <v>0</v>
      </c>
      <c r="W45" s="34">
        <f t="shared" si="7"/>
        <v>0</v>
      </c>
      <c r="X45" s="34"/>
      <c r="Y45" s="34"/>
      <c r="Z45" s="34">
        <f t="shared" si="8"/>
        <v>0</v>
      </c>
      <c r="AA45" s="34">
        <f t="shared" si="8"/>
        <v>0</v>
      </c>
      <c r="AB45" s="34">
        <f t="shared" si="8"/>
        <v>0</v>
      </c>
      <c r="AC45" s="34">
        <f t="shared" si="9"/>
        <v>0</v>
      </c>
      <c r="AD45" s="34">
        <f t="shared" si="9"/>
        <v>0</v>
      </c>
      <c r="AE45" s="34">
        <f>SUM(V45:AD45)</f>
        <v>0</v>
      </c>
    </row>
    <row r="46" spans="1:31" x14ac:dyDescent="0.25">
      <c r="A46" s="122" t="s">
        <v>95</v>
      </c>
      <c r="B46" s="122"/>
      <c r="G46">
        <v>1</v>
      </c>
      <c r="H46" s="123">
        <v>1</v>
      </c>
      <c r="P46" s="32"/>
      <c r="Q46" s="122" t="s">
        <v>81</v>
      </c>
      <c r="R46" s="123">
        <v>9</v>
      </c>
      <c r="T46" s="34">
        <f>Q6</f>
        <v>0</v>
      </c>
      <c r="U46" s="34"/>
      <c r="V46" s="34">
        <f t="shared" si="7"/>
        <v>0</v>
      </c>
      <c r="W46" s="34">
        <f t="shared" si="7"/>
        <v>0</v>
      </c>
      <c r="X46" s="34"/>
      <c r="Y46" s="34"/>
      <c r="Z46" s="34">
        <f t="shared" si="8"/>
        <v>0</v>
      </c>
      <c r="AA46" s="34">
        <f t="shared" si="8"/>
        <v>0</v>
      </c>
      <c r="AB46" s="34">
        <f t="shared" si="8"/>
        <v>0</v>
      </c>
      <c r="AC46" s="34">
        <f t="shared" si="9"/>
        <v>0</v>
      </c>
      <c r="AD46" s="34">
        <f t="shared" si="9"/>
        <v>0</v>
      </c>
      <c r="AE46" s="34">
        <f>SUM(V46:AD46)</f>
        <v>0</v>
      </c>
    </row>
    <row r="47" spans="1:31" x14ac:dyDescent="0.25">
      <c r="A47" s="122" t="s">
        <v>97</v>
      </c>
      <c r="B47" s="122">
        <v>1</v>
      </c>
      <c r="C47">
        <v>1</v>
      </c>
      <c r="H47" s="123">
        <v>2</v>
      </c>
      <c r="P47" s="32"/>
      <c r="Q47" s="122" t="s">
        <v>86</v>
      </c>
      <c r="R47" s="123">
        <v>10</v>
      </c>
      <c r="T47" s="34">
        <f>Q7</f>
        <v>0</v>
      </c>
      <c r="U47" s="34"/>
      <c r="V47" s="34">
        <f t="shared" si="7"/>
        <v>0</v>
      </c>
      <c r="W47" s="34">
        <f t="shared" si="7"/>
        <v>0</v>
      </c>
      <c r="X47" s="34"/>
      <c r="Y47" s="34"/>
      <c r="Z47" s="34">
        <f t="shared" si="8"/>
        <v>0</v>
      </c>
      <c r="AA47" s="34">
        <f t="shared" si="8"/>
        <v>0</v>
      </c>
      <c r="AB47" s="34">
        <f t="shared" si="8"/>
        <v>0</v>
      </c>
      <c r="AC47" s="34">
        <f t="shared" si="9"/>
        <v>0</v>
      </c>
      <c r="AD47" s="34">
        <f t="shared" si="9"/>
        <v>0</v>
      </c>
      <c r="AE47" s="34">
        <f>SUM(V47:AD47)</f>
        <v>0</v>
      </c>
    </row>
    <row r="48" spans="1:31" x14ac:dyDescent="0.25">
      <c r="A48" s="122" t="s">
        <v>101</v>
      </c>
      <c r="B48" s="122">
        <v>1</v>
      </c>
      <c r="H48" s="123">
        <v>1</v>
      </c>
      <c r="P48" s="32"/>
      <c r="Q48" s="122" t="s">
        <v>41</v>
      </c>
      <c r="R48" s="123">
        <v>1</v>
      </c>
      <c r="T48" s="34">
        <f>Q8</f>
        <v>0</v>
      </c>
      <c r="U48" s="34"/>
      <c r="V48" s="34">
        <f t="shared" si="7"/>
        <v>0</v>
      </c>
      <c r="W48" s="34">
        <f t="shared" si="7"/>
        <v>0</v>
      </c>
      <c r="X48" s="34"/>
      <c r="Y48" s="34"/>
      <c r="Z48" s="34">
        <f t="shared" si="8"/>
        <v>0</v>
      </c>
      <c r="AA48" s="34">
        <f t="shared" si="8"/>
        <v>0</v>
      </c>
      <c r="AB48" s="34">
        <f t="shared" si="8"/>
        <v>0</v>
      </c>
      <c r="AC48" s="34">
        <f t="shared" si="9"/>
        <v>0</v>
      </c>
      <c r="AD48" s="34">
        <f t="shared" si="9"/>
        <v>0</v>
      </c>
      <c r="AE48" s="34">
        <f>SUM(V48:AD48)</f>
        <v>0</v>
      </c>
    </row>
    <row r="49" spans="1:18" x14ac:dyDescent="0.25">
      <c r="A49" s="122" t="s">
        <v>98</v>
      </c>
      <c r="B49" s="122">
        <v>1</v>
      </c>
      <c r="H49" s="123">
        <v>1</v>
      </c>
      <c r="P49" s="32"/>
      <c r="Q49" s="122" t="s">
        <v>60</v>
      </c>
      <c r="R49" s="123">
        <v>4</v>
      </c>
    </row>
    <row r="50" spans="1:18" x14ac:dyDescent="0.25">
      <c r="A50" s="122" t="s">
        <v>99</v>
      </c>
      <c r="B50" s="122"/>
      <c r="D50">
        <v>1</v>
      </c>
      <c r="H50" s="123">
        <v>1</v>
      </c>
      <c r="P50" s="32"/>
      <c r="Q50" s="122" t="s">
        <v>71</v>
      </c>
      <c r="R50" s="123">
        <v>2</v>
      </c>
    </row>
    <row r="51" spans="1:18" x14ac:dyDescent="0.25">
      <c r="A51" s="124" t="s">
        <v>32</v>
      </c>
      <c r="B51" s="124">
        <v>5</v>
      </c>
      <c r="C51" s="125">
        <v>3</v>
      </c>
      <c r="D51" s="125">
        <v>2</v>
      </c>
      <c r="E51" s="125">
        <v>1</v>
      </c>
      <c r="F51" s="125">
        <v>1</v>
      </c>
      <c r="G51" s="125">
        <v>1</v>
      </c>
      <c r="H51" s="126">
        <v>13</v>
      </c>
      <c r="P51" s="32"/>
      <c r="Q51" s="124" t="s">
        <v>32</v>
      </c>
      <c r="R51" s="126">
        <v>53</v>
      </c>
    </row>
    <row r="52" spans="1:18" x14ac:dyDescent="0.25">
      <c r="P52" s="32"/>
    </row>
    <row r="53" spans="1:18" x14ac:dyDescent="0.25">
      <c r="P53" s="32"/>
    </row>
    <row r="54" spans="1:18" x14ac:dyDescent="0.25">
      <c r="B54">
        <v>5</v>
      </c>
      <c r="C54">
        <v>3</v>
      </c>
      <c r="D54">
        <v>4</v>
      </c>
      <c r="E54">
        <v>1</v>
      </c>
      <c r="F54">
        <v>4</v>
      </c>
      <c r="G54">
        <v>2</v>
      </c>
    </row>
  </sheetData>
  <phoneticPr fontId="9" type="noConversion"/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CBEE-B4D8-4AC6-907B-71996061202A}">
  <dimension ref="A1:AP45"/>
  <sheetViews>
    <sheetView topLeftCell="F24" workbookViewId="0">
      <selection activeCell="C4" sqref="C4:C18"/>
    </sheetView>
  </sheetViews>
  <sheetFormatPr defaultRowHeight="12.5" x14ac:dyDescent="0.25"/>
  <cols>
    <col min="1" max="1" width="6.6328125" customWidth="1"/>
    <col min="3" max="3" width="14.453125" customWidth="1"/>
    <col min="4" max="4" width="13.81640625" customWidth="1"/>
    <col min="7" max="7" width="26.26953125" customWidth="1"/>
    <col min="8" max="22" width="0" hidden="1" customWidth="1"/>
    <col min="23" max="23" width="18.453125" bestFit="1" customWidth="1"/>
    <col min="24" max="24" width="12" bestFit="1" customWidth="1"/>
    <col min="25" max="25" width="15.90625" bestFit="1" customWidth="1"/>
    <col min="26" max="26" width="13.6328125" bestFit="1" customWidth="1"/>
    <col min="27" max="27" width="19.1796875" bestFit="1" customWidth="1"/>
    <col min="28" max="28" width="17" bestFit="1" customWidth="1"/>
    <col min="29" max="29" width="59.81640625" bestFit="1" customWidth="1"/>
    <col min="30" max="30" width="12.1796875" bestFit="1" customWidth="1"/>
    <col min="31" max="31" width="11.90625" customWidth="1"/>
    <col min="36" max="36" width="11.36328125" customWidth="1"/>
    <col min="37" max="37" width="13.90625" bestFit="1" customWidth="1"/>
    <col min="40" max="40" width="12.7265625" customWidth="1"/>
    <col min="41" max="41" width="13.90625" bestFit="1" customWidth="1"/>
    <col min="42" max="42" width="28.81640625" bestFit="1" customWidth="1"/>
  </cols>
  <sheetData>
    <row r="1" spans="1:29" ht="14.5" x14ac:dyDescent="0.35">
      <c r="B1" s="167"/>
      <c r="C1" s="167"/>
      <c r="F1" s="15"/>
      <c r="G1" s="15"/>
      <c r="H1" s="315" t="s">
        <v>83</v>
      </c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6" t="s">
        <v>118</v>
      </c>
      <c r="W1" s="316" t="s">
        <v>119</v>
      </c>
      <c r="X1" s="317" t="s">
        <v>120</v>
      </c>
      <c r="Y1" s="319" t="s">
        <v>120</v>
      </c>
      <c r="Z1" s="320" t="s">
        <v>121</v>
      </c>
      <c r="AA1" s="319" t="s">
        <v>122</v>
      </c>
      <c r="AB1" s="338" t="s">
        <v>123</v>
      </c>
      <c r="AC1" s="340" t="s">
        <v>124</v>
      </c>
    </row>
    <row r="2" spans="1:29" ht="14.5" x14ac:dyDescent="0.3">
      <c r="A2" s="166" t="s">
        <v>111</v>
      </c>
      <c r="F2" s="163" t="s">
        <v>68</v>
      </c>
      <c r="G2" s="170"/>
      <c r="H2" s="171" t="s">
        <v>125</v>
      </c>
      <c r="I2" s="171" t="s">
        <v>126</v>
      </c>
      <c r="J2" s="171" t="s">
        <v>127</v>
      </c>
      <c r="K2" s="171" t="s">
        <v>128</v>
      </c>
      <c r="L2" s="171" t="s">
        <v>129</v>
      </c>
      <c r="M2" s="171" t="s">
        <v>130</v>
      </c>
      <c r="N2" s="171" t="s">
        <v>131</v>
      </c>
      <c r="O2" s="171" t="s">
        <v>132</v>
      </c>
      <c r="P2" s="171" t="s">
        <v>133</v>
      </c>
      <c r="Q2" s="171" t="s">
        <v>134</v>
      </c>
      <c r="R2" s="171" t="s">
        <v>135</v>
      </c>
      <c r="S2" s="171" t="s">
        <v>136</v>
      </c>
      <c r="T2" s="171" t="s">
        <v>137</v>
      </c>
      <c r="U2" s="171" t="s">
        <v>138</v>
      </c>
      <c r="V2" s="316"/>
      <c r="W2" s="316"/>
      <c r="X2" s="318"/>
      <c r="Y2" s="319"/>
      <c r="Z2" s="320"/>
      <c r="AA2" s="319"/>
      <c r="AB2" s="339"/>
      <c r="AC2" s="341"/>
    </row>
    <row r="3" spans="1:29" ht="14.5" customHeight="1" x14ac:dyDescent="0.25">
      <c r="F3" s="306">
        <v>61</v>
      </c>
      <c r="G3" s="172" t="s">
        <v>139</v>
      </c>
      <c r="H3" s="164"/>
      <c r="I3" s="164"/>
      <c r="J3" s="164"/>
      <c r="K3" s="164"/>
      <c r="L3" s="164"/>
      <c r="M3" s="164"/>
      <c r="N3" s="164"/>
      <c r="O3" s="164"/>
      <c r="P3" s="164"/>
      <c r="Q3" s="172"/>
      <c r="R3" s="164"/>
      <c r="S3" s="164"/>
      <c r="T3" s="164"/>
      <c r="U3" s="164"/>
      <c r="V3" s="307">
        <v>8936.39</v>
      </c>
      <c r="W3" s="309">
        <v>12</v>
      </c>
      <c r="X3" s="311" t="s">
        <v>140</v>
      </c>
      <c r="Y3" s="313">
        <v>45677</v>
      </c>
      <c r="Z3" s="314" t="s">
        <v>141</v>
      </c>
      <c r="AA3" s="327">
        <v>45708</v>
      </c>
      <c r="AB3" s="327">
        <v>45682</v>
      </c>
      <c r="AC3" s="342" t="s">
        <v>142</v>
      </c>
    </row>
    <row r="4" spans="1:29" ht="14.5" x14ac:dyDescent="0.25">
      <c r="A4" t="s">
        <v>68</v>
      </c>
      <c r="B4" t="s">
        <v>112</v>
      </c>
      <c r="C4" t="s">
        <v>113</v>
      </c>
      <c r="D4" t="s">
        <v>114</v>
      </c>
      <c r="F4" s="306"/>
      <c r="G4" s="173" t="s">
        <v>143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5"/>
      <c r="S4" s="164"/>
      <c r="T4" s="164"/>
      <c r="U4" s="164"/>
      <c r="V4" s="308"/>
      <c r="W4" s="310"/>
      <c r="X4" s="312"/>
      <c r="Y4" s="314"/>
      <c r="Z4" s="314"/>
      <c r="AA4" s="328"/>
      <c r="AB4" s="328"/>
      <c r="AC4" s="343"/>
    </row>
    <row r="5" spans="1:29" ht="14.5" x14ac:dyDescent="0.25">
      <c r="A5">
        <v>49</v>
      </c>
      <c r="F5" s="306">
        <v>62</v>
      </c>
      <c r="G5" s="172" t="s">
        <v>139</v>
      </c>
      <c r="H5" s="164"/>
      <c r="I5" s="164"/>
      <c r="J5" s="164"/>
      <c r="K5" s="164"/>
      <c r="L5" s="164"/>
      <c r="M5" s="164"/>
      <c r="N5" s="164"/>
      <c r="O5" s="174"/>
      <c r="P5" s="174"/>
      <c r="Q5" s="174"/>
      <c r="R5" s="172"/>
      <c r="S5" s="174"/>
      <c r="T5" s="174"/>
      <c r="U5" s="174"/>
      <c r="V5" s="321">
        <v>9741.84</v>
      </c>
      <c r="W5" s="322">
        <v>14</v>
      </c>
      <c r="X5" s="311" t="s">
        <v>144</v>
      </c>
      <c r="Y5" s="323" t="s">
        <v>145</v>
      </c>
      <c r="Z5" s="324" t="s">
        <v>146</v>
      </c>
      <c r="AA5" s="327">
        <v>45981</v>
      </c>
      <c r="AB5" s="327">
        <v>45951</v>
      </c>
      <c r="AC5" s="325"/>
    </row>
    <row r="6" spans="1:29" ht="14.5" x14ac:dyDescent="0.25">
      <c r="A6">
        <v>50</v>
      </c>
      <c r="F6" s="306"/>
      <c r="G6" s="173" t="s">
        <v>143</v>
      </c>
      <c r="H6" s="164"/>
      <c r="I6" s="164"/>
      <c r="J6" s="164"/>
      <c r="K6" s="164"/>
      <c r="L6" s="164"/>
      <c r="M6" s="164"/>
      <c r="N6" s="164"/>
      <c r="O6" s="174"/>
      <c r="P6" s="174"/>
      <c r="Q6" s="174"/>
      <c r="R6" s="174"/>
      <c r="S6" s="174"/>
      <c r="T6" s="174"/>
      <c r="U6" s="174"/>
      <c r="V6" s="321"/>
      <c r="W6" s="322"/>
      <c r="X6" s="312"/>
      <c r="Y6" s="324"/>
      <c r="Z6" s="324"/>
      <c r="AA6" s="328"/>
      <c r="AB6" s="328"/>
      <c r="AC6" s="326"/>
    </row>
    <row r="7" spans="1:29" ht="14.5" x14ac:dyDescent="0.25">
      <c r="A7">
        <v>51</v>
      </c>
      <c r="F7" s="306">
        <v>63</v>
      </c>
      <c r="G7" s="172" t="s">
        <v>139</v>
      </c>
      <c r="H7" s="164"/>
      <c r="I7" s="164"/>
      <c r="J7" s="164"/>
      <c r="K7" s="164"/>
      <c r="L7" s="164"/>
      <c r="M7" s="164"/>
      <c r="N7" s="164"/>
      <c r="O7" s="174"/>
      <c r="P7" s="174"/>
      <c r="Q7" s="174"/>
      <c r="R7" s="174"/>
      <c r="S7" s="172"/>
      <c r="T7" s="174"/>
      <c r="U7" s="174"/>
      <c r="V7" s="321">
        <v>9351.2199999999993</v>
      </c>
      <c r="W7" s="322">
        <v>13</v>
      </c>
      <c r="X7" s="311">
        <v>45312</v>
      </c>
      <c r="Y7" s="323" t="s">
        <v>147</v>
      </c>
      <c r="Z7" s="324" t="s">
        <v>146</v>
      </c>
      <c r="AA7" s="327">
        <v>45736</v>
      </c>
      <c r="AB7" s="327">
        <v>45706</v>
      </c>
      <c r="AC7" s="329"/>
    </row>
    <row r="8" spans="1:29" ht="14.5" x14ac:dyDescent="0.25">
      <c r="A8">
        <v>52</v>
      </c>
      <c r="F8" s="306"/>
      <c r="G8" s="173" t="s">
        <v>143</v>
      </c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321"/>
      <c r="W8" s="322"/>
      <c r="X8" s="312"/>
      <c r="Y8" s="324"/>
      <c r="Z8" s="324"/>
      <c r="AA8" s="328"/>
      <c r="AB8" s="328"/>
      <c r="AC8" s="330"/>
    </row>
    <row r="9" spans="1:29" ht="14.5" x14ac:dyDescent="0.25">
      <c r="A9">
        <v>53</v>
      </c>
      <c r="F9" s="306">
        <v>64</v>
      </c>
      <c r="G9" s="172" t="s">
        <v>139</v>
      </c>
      <c r="H9" s="172"/>
      <c r="I9" s="175"/>
      <c r="J9" s="175"/>
      <c r="K9" s="175"/>
      <c r="L9" s="175"/>
      <c r="M9" s="175"/>
      <c r="N9" s="176"/>
      <c r="O9" s="176"/>
      <c r="P9" s="176"/>
      <c r="Q9" s="176"/>
      <c r="R9" s="176"/>
      <c r="S9" s="176"/>
      <c r="T9" s="176"/>
      <c r="U9" s="176"/>
      <c r="V9" s="321">
        <v>3175.92</v>
      </c>
      <c r="W9" s="312">
        <v>4</v>
      </c>
      <c r="X9" s="311">
        <v>45341</v>
      </c>
      <c r="Y9" s="323" t="s">
        <v>148</v>
      </c>
      <c r="Z9" s="324" t="s">
        <v>146</v>
      </c>
      <c r="AA9" s="327">
        <v>45768</v>
      </c>
      <c r="AB9" s="327">
        <v>45738</v>
      </c>
      <c r="AC9" s="329"/>
    </row>
    <row r="10" spans="1:29" ht="14.5" x14ac:dyDescent="0.25">
      <c r="A10">
        <v>54</v>
      </c>
      <c r="B10" s="167">
        <v>45658</v>
      </c>
      <c r="C10" s="167">
        <v>45667</v>
      </c>
      <c r="D10" t="s">
        <v>115</v>
      </c>
      <c r="F10" s="306"/>
      <c r="G10" s="173" t="s">
        <v>143</v>
      </c>
      <c r="H10" s="173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321"/>
      <c r="W10" s="312"/>
      <c r="X10" s="312"/>
      <c r="Y10" s="324"/>
      <c r="Z10" s="324"/>
      <c r="AA10" s="328"/>
      <c r="AB10" s="328"/>
      <c r="AC10" s="330"/>
    </row>
    <row r="11" spans="1:29" ht="14.5" x14ac:dyDescent="0.25">
      <c r="A11">
        <v>55</v>
      </c>
      <c r="B11" s="167">
        <v>45697</v>
      </c>
      <c r="C11" s="167">
        <v>45707</v>
      </c>
      <c r="D11" t="s">
        <v>115</v>
      </c>
      <c r="F11" s="306">
        <v>65</v>
      </c>
      <c r="G11" s="172" t="s">
        <v>139</v>
      </c>
      <c r="H11" s="175"/>
      <c r="I11" s="175"/>
      <c r="J11" s="175"/>
      <c r="K11" s="175"/>
      <c r="L11" s="175"/>
      <c r="M11" s="172"/>
      <c r="N11" s="175"/>
      <c r="O11" s="175"/>
      <c r="P11" s="175"/>
      <c r="Q11" s="175"/>
      <c r="R11" s="175"/>
      <c r="S11" s="175"/>
      <c r="T11" s="175"/>
      <c r="U11" s="175"/>
      <c r="V11" s="321">
        <v>43.8</v>
      </c>
      <c r="W11" s="312">
        <v>0</v>
      </c>
      <c r="X11" s="311">
        <v>45150</v>
      </c>
      <c r="Y11" s="323" t="s">
        <v>149</v>
      </c>
      <c r="Z11" s="324" t="s">
        <v>146</v>
      </c>
      <c r="AA11" s="327">
        <v>45950</v>
      </c>
      <c r="AB11" s="327">
        <v>45920</v>
      </c>
      <c r="AC11" s="325"/>
    </row>
    <row r="12" spans="1:29" ht="14.5" x14ac:dyDescent="0.25">
      <c r="A12">
        <v>56</v>
      </c>
      <c r="B12" s="167">
        <v>45692</v>
      </c>
      <c r="C12" s="167">
        <v>45700</v>
      </c>
      <c r="D12" t="s">
        <v>115</v>
      </c>
      <c r="F12" s="306"/>
      <c r="G12" s="173" t="s">
        <v>143</v>
      </c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321"/>
      <c r="W12" s="312"/>
      <c r="X12" s="312"/>
      <c r="Y12" s="324"/>
      <c r="Z12" s="324"/>
      <c r="AA12" s="328"/>
      <c r="AB12" s="328"/>
      <c r="AC12" s="326"/>
    </row>
    <row r="13" spans="1:29" ht="14.5" x14ac:dyDescent="0.25">
      <c r="A13">
        <v>57</v>
      </c>
      <c r="F13" s="306">
        <v>66</v>
      </c>
      <c r="G13" s="172" t="s">
        <v>139</v>
      </c>
      <c r="H13" s="175"/>
      <c r="I13" s="172"/>
      <c r="J13" s="175"/>
      <c r="K13" s="175"/>
      <c r="L13" s="175"/>
      <c r="M13" s="175"/>
      <c r="N13" s="176"/>
      <c r="O13" s="176"/>
      <c r="P13" s="176"/>
      <c r="Q13" s="176"/>
      <c r="R13" s="176"/>
      <c r="S13" s="176"/>
      <c r="T13" s="176"/>
      <c r="U13" s="176"/>
      <c r="V13" s="321">
        <v>3294.34</v>
      </c>
      <c r="W13" s="312">
        <v>5</v>
      </c>
      <c r="X13" s="311">
        <v>45004</v>
      </c>
      <c r="Y13" s="323" t="s">
        <v>150</v>
      </c>
      <c r="Z13" s="324" t="s">
        <v>146</v>
      </c>
      <c r="AA13" s="327">
        <v>45828</v>
      </c>
      <c r="AB13" s="327">
        <v>45798</v>
      </c>
      <c r="AC13" s="329"/>
    </row>
    <row r="14" spans="1:29" ht="14.5" x14ac:dyDescent="0.25">
      <c r="A14">
        <v>58</v>
      </c>
      <c r="F14" s="306"/>
      <c r="G14" s="173" t="s">
        <v>143</v>
      </c>
      <c r="H14" s="175"/>
      <c r="I14" s="173"/>
      <c r="J14" s="175"/>
      <c r="K14" s="175"/>
      <c r="L14" s="175"/>
      <c r="M14" s="175"/>
      <c r="N14" s="176"/>
      <c r="O14" s="176"/>
      <c r="P14" s="176"/>
      <c r="Q14" s="176"/>
      <c r="R14" s="176"/>
      <c r="S14" s="176"/>
      <c r="T14" s="176"/>
      <c r="U14" s="176"/>
      <c r="V14" s="321"/>
      <c r="W14" s="312"/>
      <c r="X14" s="312"/>
      <c r="Y14" s="324"/>
      <c r="Z14" s="324"/>
      <c r="AA14" s="328"/>
      <c r="AB14" s="328"/>
      <c r="AC14" s="330"/>
    </row>
    <row r="15" spans="1:29" ht="14.5" x14ac:dyDescent="0.25">
      <c r="A15">
        <v>59</v>
      </c>
      <c r="B15" s="167">
        <v>45661</v>
      </c>
      <c r="C15" s="167">
        <v>45671</v>
      </c>
      <c r="D15" t="s">
        <v>115</v>
      </c>
      <c r="F15" s="306">
        <v>67</v>
      </c>
      <c r="G15" s="172" t="s">
        <v>139</v>
      </c>
      <c r="H15" s="175"/>
      <c r="I15" s="175"/>
      <c r="J15" s="175"/>
      <c r="K15" s="177"/>
      <c r="L15" s="172"/>
      <c r="M15" s="175"/>
      <c r="N15" s="175"/>
      <c r="O15" s="175"/>
      <c r="P15" s="175"/>
      <c r="Q15" s="175"/>
      <c r="R15" s="175"/>
      <c r="S15" s="175"/>
      <c r="T15" s="175"/>
      <c r="U15" s="175"/>
      <c r="V15" s="321">
        <v>845.12</v>
      </c>
      <c r="W15" s="312">
        <v>1</v>
      </c>
      <c r="X15" s="311">
        <v>45119</v>
      </c>
      <c r="Y15" s="323" t="s">
        <v>151</v>
      </c>
      <c r="Z15" s="324" t="s">
        <v>146</v>
      </c>
      <c r="AA15" s="327">
        <v>45920</v>
      </c>
      <c r="AB15" s="327">
        <v>45890</v>
      </c>
      <c r="AC15" s="329"/>
    </row>
    <row r="16" spans="1:29" ht="14.5" x14ac:dyDescent="0.25">
      <c r="A16">
        <v>60</v>
      </c>
      <c r="E16" s="178"/>
      <c r="F16" s="306"/>
      <c r="G16" s="173" t="s">
        <v>143</v>
      </c>
      <c r="H16" s="175"/>
      <c r="I16" s="175"/>
      <c r="J16" s="175"/>
      <c r="K16" s="175"/>
      <c r="L16" s="175"/>
      <c r="M16" s="179"/>
      <c r="N16" s="175"/>
      <c r="O16" s="175"/>
      <c r="P16" s="175"/>
      <c r="Q16" s="175"/>
      <c r="R16" s="175"/>
      <c r="S16" s="175"/>
      <c r="T16" s="175"/>
      <c r="U16" s="175"/>
      <c r="V16" s="321"/>
      <c r="W16" s="312"/>
      <c r="X16" s="312"/>
      <c r="Y16" s="324"/>
      <c r="Z16" s="324"/>
      <c r="AA16" s="328"/>
      <c r="AB16" s="328"/>
      <c r="AC16" s="330"/>
    </row>
    <row r="17" spans="1:42" ht="14.5" x14ac:dyDescent="0.25">
      <c r="A17">
        <v>61</v>
      </c>
      <c r="F17" s="306">
        <v>68</v>
      </c>
      <c r="G17" s="172" t="s">
        <v>139</v>
      </c>
      <c r="H17" s="175"/>
      <c r="I17" s="175"/>
      <c r="J17" s="172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321">
        <v>2975.54</v>
      </c>
      <c r="W17" s="312">
        <v>4</v>
      </c>
      <c r="X17" s="311">
        <v>45026</v>
      </c>
      <c r="Y17" s="323" t="s">
        <v>152</v>
      </c>
      <c r="Z17" s="324" t="s">
        <v>146</v>
      </c>
      <c r="AA17" s="327">
        <v>45858</v>
      </c>
      <c r="AB17" s="327">
        <v>45828</v>
      </c>
      <c r="AC17" s="329"/>
    </row>
    <row r="18" spans="1:42" ht="14.5" x14ac:dyDescent="0.25">
      <c r="A18" s="168">
        <v>62</v>
      </c>
      <c r="B18" s="169" t="s">
        <v>84</v>
      </c>
      <c r="C18" s="169" t="s">
        <v>84</v>
      </c>
      <c r="D18" s="168" t="s">
        <v>116</v>
      </c>
      <c r="F18" s="306"/>
      <c r="G18" s="173" t="s">
        <v>143</v>
      </c>
      <c r="H18" s="175"/>
      <c r="I18" s="175"/>
      <c r="J18" s="179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321"/>
      <c r="W18" s="312"/>
      <c r="X18" s="312"/>
      <c r="Y18" s="324"/>
      <c r="Z18" s="324"/>
      <c r="AA18" s="328"/>
      <c r="AB18" s="328"/>
      <c r="AC18" s="330"/>
    </row>
    <row r="19" spans="1:42" ht="14.5" x14ac:dyDescent="0.25">
      <c r="A19">
        <v>63</v>
      </c>
      <c r="B19" s="167">
        <v>45717</v>
      </c>
      <c r="C19" s="167">
        <v>45723</v>
      </c>
      <c r="D19" t="s">
        <v>117</v>
      </c>
      <c r="F19" s="306">
        <v>69</v>
      </c>
      <c r="G19" s="172" t="s">
        <v>139</v>
      </c>
      <c r="H19" s="175"/>
      <c r="I19" s="175"/>
      <c r="J19" s="175"/>
      <c r="K19" s="172"/>
      <c r="L19" s="177"/>
      <c r="M19" s="175"/>
      <c r="N19" s="176"/>
      <c r="O19" s="176"/>
      <c r="P19" s="176"/>
      <c r="Q19" s="176"/>
      <c r="R19" s="176"/>
      <c r="S19" s="176"/>
      <c r="T19" s="176"/>
      <c r="U19" s="176"/>
      <c r="V19" s="321">
        <v>4415.2700000000004</v>
      </c>
      <c r="W19" s="312">
        <v>6</v>
      </c>
      <c r="X19" s="311">
        <v>45384</v>
      </c>
      <c r="Y19" s="323" t="s">
        <v>153</v>
      </c>
      <c r="Z19" s="324" t="s">
        <v>146</v>
      </c>
      <c r="AA19" s="327">
        <v>45797</v>
      </c>
      <c r="AB19" s="327">
        <v>45767</v>
      </c>
      <c r="AC19" s="329"/>
    </row>
    <row r="20" spans="1:42" ht="14.5" x14ac:dyDescent="0.25">
      <c r="A20">
        <v>64</v>
      </c>
      <c r="F20" s="306"/>
      <c r="G20" s="173" t="s">
        <v>143</v>
      </c>
      <c r="H20" s="175"/>
      <c r="I20" s="175"/>
      <c r="J20" s="175"/>
      <c r="K20" s="179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321"/>
      <c r="W20" s="312"/>
      <c r="X20" s="312"/>
      <c r="Y20" s="324"/>
      <c r="Z20" s="324"/>
      <c r="AA20" s="328"/>
      <c r="AB20" s="328"/>
      <c r="AC20" s="330"/>
    </row>
    <row r="21" spans="1:42" ht="14.5" x14ac:dyDescent="0.25">
      <c r="A21">
        <v>65</v>
      </c>
      <c r="B21" s="167">
        <v>45717</v>
      </c>
      <c r="C21" s="167">
        <v>45723</v>
      </c>
      <c r="D21" t="s">
        <v>117</v>
      </c>
      <c r="F21" s="306">
        <v>70</v>
      </c>
      <c r="G21" s="172" t="s">
        <v>139</v>
      </c>
      <c r="H21" s="175"/>
      <c r="I21" s="175"/>
      <c r="J21" s="175"/>
      <c r="K21" s="175"/>
      <c r="L21" s="177"/>
      <c r="M21" s="177"/>
      <c r="N21" s="172"/>
      <c r="O21" s="176"/>
      <c r="P21" s="176"/>
      <c r="Q21" s="176"/>
      <c r="R21" s="176"/>
      <c r="S21" s="176"/>
      <c r="T21" s="176"/>
      <c r="U21" s="176"/>
      <c r="V21" s="321">
        <v>687.2</v>
      </c>
      <c r="W21" s="312">
        <v>1</v>
      </c>
      <c r="X21" s="311">
        <v>45103</v>
      </c>
      <c r="Y21" s="323" t="s">
        <v>154</v>
      </c>
      <c r="Z21" s="324" t="s">
        <v>146</v>
      </c>
      <c r="AA21" s="327">
        <v>45889</v>
      </c>
      <c r="AB21" s="327">
        <v>45859</v>
      </c>
      <c r="AC21" s="325"/>
    </row>
    <row r="22" spans="1:42" ht="14.5" x14ac:dyDescent="0.25">
      <c r="A22">
        <v>66</v>
      </c>
      <c r="F22" s="306"/>
      <c r="G22" s="173" t="s">
        <v>143</v>
      </c>
      <c r="H22" s="175"/>
      <c r="I22" s="175"/>
      <c r="J22" s="175"/>
      <c r="K22" s="175"/>
      <c r="L22" s="179"/>
      <c r="M22" s="177"/>
      <c r="N22" s="175"/>
      <c r="O22" s="175"/>
      <c r="P22" s="175"/>
      <c r="Q22" s="175"/>
      <c r="R22" s="175"/>
      <c r="S22" s="175"/>
      <c r="T22" s="175"/>
      <c r="U22" s="175"/>
      <c r="V22" s="321"/>
      <c r="W22" s="312"/>
      <c r="X22" s="312"/>
      <c r="Y22" s="324"/>
      <c r="Z22" s="324"/>
      <c r="AA22" s="328"/>
      <c r="AB22" s="328"/>
      <c r="AC22" s="326"/>
    </row>
    <row r="23" spans="1:42" ht="14.5" x14ac:dyDescent="0.25">
      <c r="A23">
        <v>67</v>
      </c>
      <c r="F23" s="306">
        <v>71</v>
      </c>
      <c r="G23" s="172" t="s">
        <v>139</v>
      </c>
      <c r="H23" s="180"/>
      <c r="I23" s="180"/>
      <c r="J23" s="180"/>
      <c r="K23" s="180"/>
      <c r="L23" s="180"/>
      <c r="M23" s="177"/>
      <c r="N23" s="177"/>
      <c r="O23" s="172"/>
      <c r="P23" s="180"/>
      <c r="Q23" s="180"/>
      <c r="R23" s="180"/>
      <c r="S23" s="180"/>
      <c r="T23" s="180"/>
      <c r="U23" s="180"/>
      <c r="V23" s="321">
        <v>8551.2199999999993</v>
      </c>
      <c r="W23" s="322">
        <v>12</v>
      </c>
      <c r="X23" s="311">
        <v>45281</v>
      </c>
      <c r="Y23" s="323" t="s">
        <v>155</v>
      </c>
      <c r="Z23" s="324" t="s">
        <v>146</v>
      </c>
      <c r="AA23" s="327">
        <v>46042</v>
      </c>
      <c r="AB23" s="327">
        <v>46012</v>
      </c>
      <c r="AC23" s="329"/>
    </row>
    <row r="24" spans="1:42" ht="14.5" x14ac:dyDescent="0.25">
      <c r="A24" s="168">
        <v>68</v>
      </c>
      <c r="B24" s="169" t="s">
        <v>84</v>
      </c>
      <c r="C24" s="169" t="s">
        <v>84</v>
      </c>
      <c r="D24" s="168" t="s">
        <v>116</v>
      </c>
      <c r="F24" s="306"/>
      <c r="G24" s="173" t="s">
        <v>143</v>
      </c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321"/>
      <c r="W24" s="322"/>
      <c r="X24" s="312"/>
      <c r="Y24" s="324"/>
      <c r="Z24" s="324"/>
      <c r="AA24" s="328"/>
      <c r="AB24" s="328"/>
      <c r="AC24" s="330"/>
    </row>
    <row r="25" spans="1:42" ht="14.5" x14ac:dyDescent="0.25">
      <c r="A25">
        <v>69</v>
      </c>
      <c r="B25" s="167">
        <v>45706</v>
      </c>
      <c r="C25" s="167">
        <v>45714</v>
      </c>
      <c r="D25" t="s">
        <v>117</v>
      </c>
      <c r="F25" s="306">
        <v>72</v>
      </c>
      <c r="G25" s="172" t="s">
        <v>139</v>
      </c>
      <c r="H25" s="180"/>
      <c r="I25" s="180"/>
      <c r="J25" s="180"/>
      <c r="K25" s="180"/>
      <c r="L25" s="180"/>
      <c r="M25" s="180"/>
      <c r="N25" s="177"/>
      <c r="O25" s="177"/>
      <c r="P25" s="172"/>
      <c r="Q25" s="180"/>
      <c r="R25" s="180"/>
      <c r="S25" s="180"/>
      <c r="T25" s="180"/>
      <c r="U25" s="180"/>
      <c r="V25" s="321">
        <v>10888.02</v>
      </c>
      <c r="W25" s="322">
        <v>15</v>
      </c>
      <c r="X25" s="311">
        <v>45189</v>
      </c>
      <c r="Y25" s="323" t="s">
        <v>156</v>
      </c>
      <c r="Z25" s="324" t="s">
        <v>146</v>
      </c>
      <c r="AA25" s="327">
        <v>46011</v>
      </c>
      <c r="AB25" s="327">
        <v>45981</v>
      </c>
      <c r="AC25" s="329"/>
    </row>
    <row r="26" spans="1:42" ht="14.5" x14ac:dyDescent="0.25">
      <c r="A26">
        <v>70</v>
      </c>
      <c r="F26" s="306"/>
      <c r="G26" s="173" t="s">
        <v>143</v>
      </c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321"/>
      <c r="W26" s="322"/>
      <c r="X26" s="312"/>
      <c r="Y26" s="324"/>
      <c r="Z26" s="324"/>
      <c r="AA26" s="328"/>
      <c r="AB26" s="328"/>
      <c r="AC26" s="330"/>
    </row>
    <row r="27" spans="1:42" x14ac:dyDescent="0.25">
      <c r="A27">
        <v>71</v>
      </c>
      <c r="B27" s="167">
        <v>45658</v>
      </c>
      <c r="C27" s="167">
        <v>45670</v>
      </c>
      <c r="D27" t="s">
        <v>115</v>
      </c>
    </row>
    <row r="28" spans="1:42" x14ac:dyDescent="0.25">
      <c r="A28">
        <v>72</v>
      </c>
    </row>
    <row r="29" spans="1:42" ht="13" x14ac:dyDescent="0.3"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 t="s">
        <v>68</v>
      </c>
      <c r="X29" s="193" t="s">
        <v>177</v>
      </c>
      <c r="Y29" s="193" t="s">
        <v>143</v>
      </c>
    </row>
    <row r="30" spans="1:42" x14ac:dyDescent="0.25"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>
        <v>49</v>
      </c>
      <c r="X30" s="15" t="s">
        <v>178</v>
      </c>
      <c r="Y30" s="194">
        <v>45782</v>
      </c>
    </row>
    <row r="31" spans="1:42" x14ac:dyDescent="0.25"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>
        <v>50</v>
      </c>
      <c r="X31" s="15" t="s">
        <v>179</v>
      </c>
      <c r="Y31" s="185">
        <v>45901</v>
      </c>
      <c r="AC31" s="181"/>
      <c r="AD31" s="182"/>
    </row>
    <row r="32" spans="1:42" ht="13" x14ac:dyDescent="0.25"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>
        <v>51</v>
      </c>
      <c r="X32" s="15" t="s">
        <v>180</v>
      </c>
      <c r="Y32" s="185">
        <v>45931</v>
      </c>
      <c r="AC32" s="181"/>
      <c r="AD32" s="336" t="s">
        <v>157</v>
      </c>
      <c r="AE32" s="334" t="s">
        <v>158</v>
      </c>
      <c r="AF32" s="331" t="s">
        <v>159</v>
      </c>
      <c r="AG32" s="332"/>
      <c r="AH32" s="332"/>
      <c r="AI32" s="333"/>
      <c r="AJ32" s="331" t="s">
        <v>160</v>
      </c>
      <c r="AK32" s="332"/>
      <c r="AL32" s="332"/>
      <c r="AM32" s="333"/>
      <c r="AN32" s="334" t="s">
        <v>161</v>
      </c>
      <c r="AO32" s="334" t="s">
        <v>162</v>
      </c>
      <c r="AP32" s="336" t="s">
        <v>8</v>
      </c>
    </row>
    <row r="33" spans="8:42" ht="13" x14ac:dyDescent="0.25"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>
        <v>52</v>
      </c>
      <c r="X33" s="15" t="s">
        <v>181</v>
      </c>
      <c r="Y33" s="185">
        <v>45962</v>
      </c>
      <c r="AC33" s="181"/>
      <c r="AD33" s="337"/>
      <c r="AE33" s="335"/>
      <c r="AF33" s="183" t="s">
        <v>50</v>
      </c>
      <c r="AG33" s="183" t="s">
        <v>49</v>
      </c>
      <c r="AH33" s="183" t="s">
        <v>53</v>
      </c>
      <c r="AI33" s="183" t="s">
        <v>51</v>
      </c>
      <c r="AJ33" s="183" t="s">
        <v>50</v>
      </c>
      <c r="AK33" s="183" t="s">
        <v>49</v>
      </c>
      <c r="AL33" s="183" t="s">
        <v>53</v>
      </c>
      <c r="AM33" s="183" t="s">
        <v>51</v>
      </c>
      <c r="AN33" s="335"/>
      <c r="AO33" s="335"/>
      <c r="AP33" s="337"/>
    </row>
    <row r="34" spans="8:42" ht="14.5" x14ac:dyDescent="0.35"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>
        <v>53</v>
      </c>
      <c r="X34" s="15" t="s">
        <v>182</v>
      </c>
      <c r="Y34" s="185">
        <v>45992</v>
      </c>
      <c r="AC34" s="181"/>
      <c r="AD34" s="184" t="s">
        <v>163</v>
      </c>
      <c r="AE34" s="185">
        <v>45736</v>
      </c>
      <c r="AF34" s="186">
        <v>0</v>
      </c>
      <c r="AG34" s="186">
        <v>1521</v>
      </c>
      <c r="AH34" s="187">
        <v>0</v>
      </c>
      <c r="AI34" s="187">
        <v>0</v>
      </c>
      <c r="AJ34" s="188"/>
      <c r="AK34" s="189">
        <v>3802.5</v>
      </c>
      <c r="AL34" s="187">
        <v>0</v>
      </c>
      <c r="AM34" s="187">
        <v>0</v>
      </c>
      <c r="AN34" s="15" t="s">
        <v>164</v>
      </c>
      <c r="AO34" s="15" t="s">
        <v>165</v>
      </c>
      <c r="AP34" s="190" t="s">
        <v>166</v>
      </c>
    </row>
    <row r="35" spans="8:42" ht="14.5" x14ac:dyDescent="0.35"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>
        <v>54</v>
      </c>
      <c r="X35" s="15" t="s">
        <v>183</v>
      </c>
      <c r="Y35" s="194">
        <v>45658</v>
      </c>
      <c r="AD35" s="184" t="s">
        <v>167</v>
      </c>
      <c r="AE35" s="185">
        <v>45741</v>
      </c>
      <c r="AF35" s="186">
        <v>0</v>
      </c>
      <c r="AG35" s="186">
        <v>1000</v>
      </c>
      <c r="AH35" s="187">
        <v>0</v>
      </c>
      <c r="AI35" s="187">
        <v>0</v>
      </c>
      <c r="AJ35" s="189">
        <v>0</v>
      </c>
      <c r="AK35" s="189">
        <v>2000</v>
      </c>
      <c r="AL35" s="187">
        <v>0</v>
      </c>
      <c r="AM35" s="187">
        <v>0</v>
      </c>
      <c r="AN35" s="15" t="s">
        <v>164</v>
      </c>
      <c r="AO35" s="15" t="s">
        <v>168</v>
      </c>
      <c r="AP35" s="190" t="s">
        <v>166</v>
      </c>
    </row>
    <row r="36" spans="8:42" ht="14.5" x14ac:dyDescent="0.35"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>
        <v>55</v>
      </c>
      <c r="X36" s="15" t="s">
        <v>184</v>
      </c>
      <c r="Y36" s="194">
        <v>45697</v>
      </c>
      <c r="AD36" s="184" t="s">
        <v>169</v>
      </c>
      <c r="AE36" s="185">
        <v>45742</v>
      </c>
      <c r="AF36" s="186">
        <v>2332</v>
      </c>
      <c r="AG36" s="186">
        <v>400</v>
      </c>
      <c r="AH36" s="187">
        <v>0</v>
      </c>
      <c r="AI36" s="187">
        <v>0</v>
      </c>
      <c r="AJ36" s="189">
        <v>4664</v>
      </c>
      <c r="AK36" s="189">
        <v>800</v>
      </c>
      <c r="AL36" s="187">
        <v>0</v>
      </c>
      <c r="AM36" s="187">
        <v>0</v>
      </c>
      <c r="AN36" s="15" t="s">
        <v>164</v>
      </c>
      <c r="AO36" s="15" t="s">
        <v>168</v>
      </c>
      <c r="AP36" s="190" t="s">
        <v>166</v>
      </c>
    </row>
    <row r="37" spans="8:42" ht="14.5" x14ac:dyDescent="0.35"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>
        <v>56</v>
      </c>
      <c r="X37" s="15" t="s">
        <v>185</v>
      </c>
      <c r="Y37" s="194">
        <v>45717</v>
      </c>
      <c r="AC37" s="181"/>
      <c r="AD37" s="184" t="s">
        <v>170</v>
      </c>
      <c r="AE37" s="185">
        <v>45742</v>
      </c>
      <c r="AF37" s="186">
        <v>250</v>
      </c>
      <c r="AG37" s="186">
        <v>0</v>
      </c>
      <c r="AH37" s="187">
        <v>0</v>
      </c>
      <c r="AI37" s="187">
        <v>0</v>
      </c>
      <c r="AJ37" s="189">
        <v>500</v>
      </c>
      <c r="AK37" s="189">
        <v>0</v>
      </c>
      <c r="AL37" s="187">
        <v>0</v>
      </c>
      <c r="AM37" s="187">
        <v>0</v>
      </c>
      <c r="AN37" s="15" t="s">
        <v>164</v>
      </c>
      <c r="AO37" s="15" t="s">
        <v>168</v>
      </c>
      <c r="AP37" s="190" t="s">
        <v>166</v>
      </c>
    </row>
    <row r="38" spans="8:42" ht="14.5" x14ac:dyDescent="0.35"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>
        <v>57</v>
      </c>
      <c r="X38" s="15" t="s">
        <v>186</v>
      </c>
      <c r="Y38" s="194">
        <v>45749</v>
      </c>
      <c r="AC38" s="181"/>
      <c r="AD38" s="184" t="s">
        <v>170</v>
      </c>
      <c r="AE38" s="185">
        <v>45742</v>
      </c>
      <c r="AF38" s="186">
        <v>0</v>
      </c>
      <c r="AG38" s="186">
        <v>172</v>
      </c>
      <c r="AH38" s="187">
        <v>0</v>
      </c>
      <c r="AI38" s="187">
        <v>0</v>
      </c>
      <c r="AJ38" s="189">
        <v>0</v>
      </c>
      <c r="AK38" s="189">
        <v>430</v>
      </c>
      <c r="AL38" s="187">
        <v>0</v>
      </c>
      <c r="AM38" s="187">
        <v>0</v>
      </c>
      <c r="AN38" s="15" t="s">
        <v>164</v>
      </c>
      <c r="AO38" s="15" t="s">
        <v>171</v>
      </c>
      <c r="AP38" s="190" t="s">
        <v>166</v>
      </c>
    </row>
    <row r="39" spans="8:42" ht="14.5" x14ac:dyDescent="0.35"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>
        <v>58</v>
      </c>
      <c r="X39" s="15" t="s">
        <v>187</v>
      </c>
      <c r="Y39" s="194">
        <v>45809</v>
      </c>
      <c r="AC39" s="181"/>
      <c r="AD39" s="184" t="s">
        <v>172</v>
      </c>
      <c r="AE39" s="185">
        <v>45743</v>
      </c>
      <c r="AF39" s="186">
        <v>2332</v>
      </c>
      <c r="AG39" s="186">
        <v>400</v>
      </c>
      <c r="AH39" s="187">
        <v>0</v>
      </c>
      <c r="AI39" s="187">
        <v>0</v>
      </c>
      <c r="AJ39" s="189">
        <v>4664</v>
      </c>
      <c r="AK39" s="189">
        <v>800</v>
      </c>
      <c r="AL39" s="187">
        <v>0</v>
      </c>
      <c r="AM39" s="187">
        <v>0</v>
      </c>
      <c r="AN39" s="15" t="s">
        <v>164</v>
      </c>
      <c r="AO39" s="15" t="s">
        <v>168</v>
      </c>
      <c r="AP39" s="190" t="s">
        <v>166</v>
      </c>
    </row>
    <row r="40" spans="8:42" ht="14.5" x14ac:dyDescent="0.35"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>
        <v>59</v>
      </c>
      <c r="X40" s="15" t="s">
        <v>188</v>
      </c>
      <c r="Y40" s="185">
        <v>45839</v>
      </c>
      <c r="AC40" s="181"/>
      <c r="AD40" s="184" t="s">
        <v>173</v>
      </c>
      <c r="AE40" s="185">
        <v>45743</v>
      </c>
      <c r="AF40" s="186">
        <v>2332</v>
      </c>
      <c r="AG40" s="186">
        <v>400</v>
      </c>
      <c r="AH40" s="187">
        <v>0</v>
      </c>
      <c r="AI40" s="187">
        <v>0</v>
      </c>
      <c r="AJ40" s="189">
        <v>4664</v>
      </c>
      <c r="AK40" s="189">
        <v>800</v>
      </c>
      <c r="AL40" s="187">
        <v>0</v>
      </c>
      <c r="AM40" s="187">
        <v>0</v>
      </c>
      <c r="AN40" s="15" t="s">
        <v>164</v>
      </c>
      <c r="AO40" s="15" t="s">
        <v>168</v>
      </c>
      <c r="AP40" s="190" t="s">
        <v>166</v>
      </c>
    </row>
    <row r="41" spans="8:42" ht="14.5" x14ac:dyDescent="0.35"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>
        <v>60</v>
      </c>
      <c r="X41" s="15" t="s">
        <v>189</v>
      </c>
      <c r="Y41" s="185">
        <v>45870</v>
      </c>
      <c r="AC41" s="191"/>
      <c r="AD41" s="184" t="s">
        <v>174</v>
      </c>
      <c r="AE41" s="185">
        <v>45749</v>
      </c>
      <c r="AF41" s="186"/>
      <c r="AG41" s="186"/>
      <c r="AH41" s="187"/>
      <c r="AI41" s="187"/>
      <c r="AJ41" s="189"/>
      <c r="AK41" s="189">
        <v>500</v>
      </c>
      <c r="AL41" s="187"/>
      <c r="AM41" s="187"/>
      <c r="AN41" s="15" t="s">
        <v>164</v>
      </c>
      <c r="AO41" s="15" t="s">
        <v>175</v>
      </c>
      <c r="AP41" s="192" t="s">
        <v>56</v>
      </c>
    </row>
    <row r="42" spans="8:42" x14ac:dyDescent="0.25">
      <c r="AC42" s="181"/>
      <c r="AD42" s="182"/>
    </row>
    <row r="43" spans="8:42" x14ac:dyDescent="0.25">
      <c r="AC43" s="181"/>
      <c r="AD43" s="182"/>
    </row>
    <row r="44" spans="8:42" x14ac:dyDescent="0.25">
      <c r="AC44" s="181"/>
      <c r="AD44" s="182"/>
    </row>
    <row r="45" spans="8:42" x14ac:dyDescent="0.25">
      <c r="AC45" s="181"/>
      <c r="AD45" s="182"/>
    </row>
  </sheetData>
  <mergeCells count="124">
    <mergeCell ref="AP32:AP33"/>
    <mergeCell ref="AA25:AA26"/>
    <mergeCell ref="AB25:AB26"/>
    <mergeCell ref="AC25:AC26"/>
    <mergeCell ref="AD32:AD33"/>
    <mergeCell ref="AE32:AE33"/>
    <mergeCell ref="AF32:AI32"/>
    <mergeCell ref="AA1:AA2"/>
    <mergeCell ref="AB1:AB2"/>
    <mergeCell ref="AC1:AC2"/>
    <mergeCell ref="AA3:AA4"/>
    <mergeCell ref="AB3:AB4"/>
    <mergeCell ref="AC3:AC4"/>
    <mergeCell ref="AA5:AA6"/>
    <mergeCell ref="AB5:AB6"/>
    <mergeCell ref="AC5:AC6"/>
    <mergeCell ref="AA7:AA8"/>
    <mergeCell ref="AB7:AB8"/>
    <mergeCell ref="AC7:AC8"/>
    <mergeCell ref="AA9:AA10"/>
    <mergeCell ref="AB9:AB10"/>
    <mergeCell ref="AC9:AC10"/>
    <mergeCell ref="AA11:AA12"/>
    <mergeCell ref="AB11:AB12"/>
    <mergeCell ref="F25:F26"/>
    <mergeCell ref="V25:V26"/>
    <mergeCell ref="W25:W26"/>
    <mergeCell ref="X25:X26"/>
    <mergeCell ref="Y25:Y26"/>
    <mergeCell ref="Z25:Z26"/>
    <mergeCell ref="AJ32:AM32"/>
    <mergeCell ref="AN32:AN33"/>
    <mergeCell ref="AO32:AO33"/>
    <mergeCell ref="F23:F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C21:AC22"/>
    <mergeCell ref="F21:F22"/>
    <mergeCell ref="V21:V22"/>
    <mergeCell ref="W21:W22"/>
    <mergeCell ref="X21:X22"/>
    <mergeCell ref="Y21:Y22"/>
    <mergeCell ref="Z21:Z22"/>
    <mergeCell ref="AA21:AA22"/>
    <mergeCell ref="AB21:AB22"/>
    <mergeCell ref="F19:F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A17:AA18"/>
    <mergeCell ref="AB17:AB18"/>
    <mergeCell ref="AC17:AC18"/>
    <mergeCell ref="F17:F18"/>
    <mergeCell ref="V17:V18"/>
    <mergeCell ref="W17:W18"/>
    <mergeCell ref="X17:X18"/>
    <mergeCell ref="Y17:Y18"/>
    <mergeCell ref="Z17:Z18"/>
    <mergeCell ref="F15:F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F13:F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F11:F12"/>
    <mergeCell ref="V11:V12"/>
    <mergeCell ref="W11:W12"/>
    <mergeCell ref="X11:X12"/>
    <mergeCell ref="Y11:Y12"/>
    <mergeCell ref="Z11:Z12"/>
    <mergeCell ref="AC11:AC12"/>
    <mergeCell ref="F9:F10"/>
    <mergeCell ref="V9:V10"/>
    <mergeCell ref="W9:W10"/>
    <mergeCell ref="X9:X10"/>
    <mergeCell ref="Y9:Y10"/>
    <mergeCell ref="Z9:Z10"/>
    <mergeCell ref="F7:F8"/>
    <mergeCell ref="V7:V8"/>
    <mergeCell ref="W7:W8"/>
    <mergeCell ref="X7:X8"/>
    <mergeCell ref="Y7:Y8"/>
    <mergeCell ref="Z7:Z8"/>
    <mergeCell ref="F5:F6"/>
    <mergeCell ref="V5:V6"/>
    <mergeCell ref="W5:W6"/>
    <mergeCell ref="X5:X6"/>
    <mergeCell ref="Y5:Y6"/>
    <mergeCell ref="Z5:Z6"/>
    <mergeCell ref="F3:F4"/>
    <mergeCell ref="V3:V4"/>
    <mergeCell ref="W3:W4"/>
    <mergeCell ref="X3:X4"/>
    <mergeCell ref="Y3:Y4"/>
    <mergeCell ref="Z3:Z4"/>
    <mergeCell ref="H1:U1"/>
    <mergeCell ref="V1:V2"/>
    <mergeCell ref="W1:W2"/>
    <mergeCell ref="X1:X2"/>
    <mergeCell ref="Y1:Y2"/>
    <mergeCell ref="Z1:Z2"/>
  </mergeCells>
  <phoneticPr fontId="9" type="noConversion"/>
  <conditionalFormatting sqref="W3:W26">
    <cfRule type="cellIs" dxfId="9" priority="1" operator="greaterThan">
      <formula>360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D9DC-EB36-40BC-8764-A0FDB6331A6F}">
  <dimension ref="A1:P38"/>
  <sheetViews>
    <sheetView zoomScale="80" zoomScaleNormal="80" workbookViewId="0">
      <selection activeCell="C4" sqref="C4:C18"/>
    </sheetView>
  </sheetViews>
  <sheetFormatPr defaultRowHeight="12.5" x14ac:dyDescent="0.25"/>
  <cols>
    <col min="1" max="1" width="35.1796875" bestFit="1" customWidth="1"/>
    <col min="6" max="6" width="11.453125" bestFit="1" customWidth="1"/>
    <col min="7" max="7" width="11.1796875" bestFit="1" customWidth="1"/>
    <col min="8" max="8" width="11.453125" bestFit="1" customWidth="1"/>
  </cols>
  <sheetData>
    <row r="1" spans="1:16" ht="13" x14ac:dyDescent="0.3">
      <c r="A1" s="56" t="s">
        <v>54</v>
      </c>
    </row>
    <row r="3" spans="1:16" s="10" customFormat="1" ht="18" customHeight="1" x14ac:dyDescent="0.25">
      <c r="A3" s="57" t="s">
        <v>34</v>
      </c>
      <c r="B3" s="57" t="s">
        <v>50</v>
      </c>
      <c r="C3" s="57" t="s">
        <v>49</v>
      </c>
      <c r="D3" s="57" t="s">
        <v>53</v>
      </c>
      <c r="E3" s="57" t="s">
        <v>51</v>
      </c>
      <c r="F3" s="58"/>
      <c r="G3" s="58"/>
    </row>
    <row r="4" spans="1:16" s="10" customFormat="1" ht="18" customHeight="1" x14ac:dyDescent="0.25">
      <c r="A4" s="45" t="s">
        <v>47</v>
      </c>
      <c r="B4" s="45" t="s">
        <v>50</v>
      </c>
      <c r="C4" s="45" t="s">
        <v>49</v>
      </c>
      <c r="D4" s="45" t="s">
        <v>53</v>
      </c>
      <c r="E4" s="45" t="s">
        <v>51</v>
      </c>
      <c r="F4" s="46"/>
      <c r="G4" s="46"/>
    </row>
    <row r="5" spans="1:16" s="10" customFormat="1" ht="18.649999999999999" customHeight="1" x14ac:dyDescent="0.25">
      <c r="A5" s="59" t="s">
        <v>55</v>
      </c>
      <c r="B5" s="59" t="s">
        <v>50</v>
      </c>
      <c r="C5" s="59" t="s">
        <v>49</v>
      </c>
      <c r="D5" s="59" t="s">
        <v>53</v>
      </c>
      <c r="E5" s="59" t="s">
        <v>51</v>
      </c>
      <c r="F5" s="60"/>
      <c r="G5" s="60"/>
    </row>
    <row r="6" spans="1:16" s="10" customFormat="1" ht="18" customHeight="1" x14ac:dyDescent="0.25">
      <c r="A6" s="61" t="s">
        <v>56</v>
      </c>
      <c r="B6" s="62" t="s">
        <v>50</v>
      </c>
      <c r="C6" s="62" t="s">
        <v>49</v>
      </c>
      <c r="D6" s="62" t="s">
        <v>53</v>
      </c>
      <c r="E6" s="62" t="s">
        <v>51</v>
      </c>
      <c r="F6" s="63"/>
      <c r="G6" s="63"/>
    </row>
    <row r="7" spans="1:16" s="10" customFormat="1" ht="18" customHeight="1" x14ac:dyDescent="0.25">
      <c r="A7" s="64" t="s">
        <v>57</v>
      </c>
      <c r="B7" s="64" t="s">
        <v>50</v>
      </c>
      <c r="C7" s="64" t="s">
        <v>49</v>
      </c>
      <c r="D7" s="64" t="s">
        <v>53</v>
      </c>
      <c r="E7" s="64" t="s">
        <v>51</v>
      </c>
      <c r="F7" s="65"/>
      <c r="G7" s="65"/>
      <c r="N7" s="66"/>
      <c r="P7" s="66"/>
    </row>
    <row r="8" spans="1:16" s="10" customFormat="1" ht="18" customHeight="1" x14ac:dyDescent="0.25">
      <c r="A8" s="67" t="s">
        <v>18</v>
      </c>
      <c r="B8" s="67" t="s">
        <v>50</v>
      </c>
      <c r="C8" s="67" t="s">
        <v>49</v>
      </c>
      <c r="D8" s="67" t="s">
        <v>53</v>
      </c>
      <c r="E8" s="67" t="s">
        <v>51</v>
      </c>
      <c r="F8" s="68"/>
      <c r="G8" s="68"/>
    </row>
    <row r="9" spans="1:16" s="10" customFormat="1" ht="18" customHeight="1" x14ac:dyDescent="0.25">
      <c r="A9" s="102" t="s">
        <v>75</v>
      </c>
      <c r="B9" s="102" t="s">
        <v>50</v>
      </c>
      <c r="C9" s="102" t="s">
        <v>49</v>
      </c>
      <c r="D9" s="102" t="s">
        <v>53</v>
      </c>
      <c r="E9" s="102" t="s">
        <v>51</v>
      </c>
      <c r="F9" s="103"/>
      <c r="G9" s="103"/>
    </row>
    <row r="10" spans="1:16" s="10" customFormat="1" ht="18" customHeight="1" x14ac:dyDescent="0.25">
      <c r="A10" s="69" t="s">
        <v>45</v>
      </c>
      <c r="B10" s="70" t="s">
        <v>50</v>
      </c>
      <c r="C10" s="71" t="s">
        <v>49</v>
      </c>
      <c r="D10" s="71" t="s">
        <v>53</v>
      </c>
      <c r="E10" s="71" t="s">
        <v>51</v>
      </c>
      <c r="F10" s="72"/>
      <c r="G10" s="72"/>
      <c r="N10" s="66"/>
      <c r="P10" s="66"/>
    </row>
    <row r="11" spans="1:16" ht="14.5" x14ac:dyDescent="0.25">
      <c r="A11" s="73" t="s">
        <v>58</v>
      </c>
      <c r="B11" s="74" t="s">
        <v>50</v>
      </c>
      <c r="C11" s="74" t="s">
        <v>49</v>
      </c>
      <c r="D11" s="74" t="s">
        <v>53</v>
      </c>
      <c r="E11" s="74" t="s">
        <v>51</v>
      </c>
      <c r="F11" s="75"/>
      <c r="G11" s="76"/>
      <c r="H11" s="10"/>
      <c r="I11" s="10"/>
      <c r="J11" s="10"/>
      <c r="K11" s="10"/>
    </row>
    <row r="12" spans="1:16" s="10" customFormat="1" ht="18" customHeight="1" x14ac:dyDescent="0.25">
      <c r="A12" s="44" t="s">
        <v>36</v>
      </c>
      <c r="B12" s="44" t="s">
        <v>50</v>
      </c>
      <c r="C12" s="44" t="s">
        <v>49</v>
      </c>
      <c r="D12" s="44" t="s">
        <v>53</v>
      </c>
      <c r="E12" s="44" t="s">
        <v>51</v>
      </c>
      <c r="F12" s="52"/>
      <c r="G12" s="53"/>
    </row>
    <row r="13" spans="1:16" s="10" customFormat="1" ht="18" customHeight="1" x14ac:dyDescent="0.25">
      <c r="A13" s="77" t="s">
        <v>59</v>
      </c>
      <c r="B13" s="78" t="s">
        <v>50</v>
      </c>
      <c r="C13" s="78" t="s">
        <v>49</v>
      </c>
      <c r="D13" s="78" t="s">
        <v>53</v>
      </c>
      <c r="E13" s="78" t="s">
        <v>51</v>
      </c>
      <c r="F13" s="79"/>
      <c r="G13" s="79"/>
    </row>
    <row r="14" spans="1:16" s="10" customFormat="1" ht="18" customHeight="1" x14ac:dyDescent="0.25">
      <c r="A14" s="80" t="s">
        <v>35</v>
      </c>
      <c r="B14" s="80" t="s">
        <v>50</v>
      </c>
      <c r="C14" s="80" t="s">
        <v>49</v>
      </c>
      <c r="D14" s="80" t="s">
        <v>53</v>
      </c>
      <c r="E14" s="80" t="s">
        <v>51</v>
      </c>
      <c r="F14" s="81"/>
      <c r="G14" s="81"/>
      <c r="H14" s="133" t="s">
        <v>88</v>
      </c>
    </row>
    <row r="15" spans="1:16" s="10" customFormat="1" ht="18" customHeight="1" x14ac:dyDescent="0.25">
      <c r="A15" s="50" t="s">
        <v>37</v>
      </c>
      <c r="B15" s="50" t="s">
        <v>50</v>
      </c>
      <c r="C15" s="50" t="s">
        <v>49</v>
      </c>
      <c r="D15" s="50" t="s">
        <v>53</v>
      </c>
      <c r="E15" s="50" t="s">
        <v>51</v>
      </c>
      <c r="F15" s="51"/>
      <c r="G15" s="51"/>
      <c r="H15" s="133" t="s">
        <v>88</v>
      </c>
    </row>
    <row r="16" spans="1:16" s="10" customFormat="1" ht="18" customHeight="1" x14ac:dyDescent="0.25">
      <c r="A16" s="82" t="s">
        <v>6</v>
      </c>
      <c r="B16" s="83" t="s">
        <v>50</v>
      </c>
      <c r="C16" s="83" t="s">
        <v>49</v>
      </c>
      <c r="D16" s="83" t="s">
        <v>53</v>
      </c>
      <c r="E16" s="83" t="s">
        <v>51</v>
      </c>
      <c r="F16" s="84"/>
      <c r="G16" s="84"/>
    </row>
    <row r="17" spans="1:8" s="10" customFormat="1" ht="18" customHeight="1" x14ac:dyDescent="0.25">
      <c r="A17" s="85" t="s">
        <v>60</v>
      </c>
      <c r="B17" s="86" t="s">
        <v>50</v>
      </c>
      <c r="C17" s="86" t="s">
        <v>49</v>
      </c>
      <c r="D17" s="86" t="s">
        <v>53</v>
      </c>
      <c r="E17" s="86" t="s">
        <v>51</v>
      </c>
      <c r="F17" s="87"/>
      <c r="G17" s="87"/>
    </row>
    <row r="18" spans="1:8" s="10" customFormat="1" ht="18" customHeight="1" x14ac:dyDescent="0.25">
      <c r="A18" s="96" t="s">
        <v>71</v>
      </c>
      <c r="B18" s="97" t="s">
        <v>50</v>
      </c>
      <c r="C18" s="97" t="s">
        <v>49</v>
      </c>
      <c r="D18" s="97" t="s">
        <v>53</v>
      </c>
      <c r="E18" s="97" t="s">
        <v>51</v>
      </c>
      <c r="F18" s="98"/>
      <c r="G18" s="98"/>
    </row>
    <row r="19" spans="1:8" s="10" customFormat="1" ht="18" customHeight="1" x14ac:dyDescent="0.25">
      <c r="A19" s="54" t="s">
        <v>20</v>
      </c>
      <c r="B19" s="54" t="s">
        <v>50</v>
      </c>
      <c r="C19" s="54" t="s">
        <v>49</v>
      </c>
      <c r="D19" s="54" t="s">
        <v>53</v>
      </c>
      <c r="E19" s="54" t="s">
        <v>51</v>
      </c>
      <c r="F19" s="55"/>
      <c r="G19" s="55"/>
    </row>
    <row r="20" spans="1:8" s="10" customFormat="1" ht="18" customHeight="1" x14ac:dyDescent="0.25">
      <c r="A20" s="88" t="s">
        <v>44</v>
      </c>
      <c r="B20" s="88" t="s">
        <v>50</v>
      </c>
      <c r="C20" s="88" t="s">
        <v>49</v>
      </c>
      <c r="D20" s="88" t="s">
        <v>53</v>
      </c>
      <c r="E20" s="88" t="s">
        <v>51</v>
      </c>
      <c r="F20" s="89"/>
      <c r="G20" s="89"/>
    </row>
    <row r="21" spans="1:8" ht="14.5" x14ac:dyDescent="0.25">
      <c r="A21" s="93" t="s">
        <v>67</v>
      </c>
      <c r="B21" s="94" t="s">
        <v>50</v>
      </c>
      <c r="C21" s="94" t="s">
        <v>49</v>
      </c>
      <c r="D21" s="94" t="s">
        <v>53</v>
      </c>
      <c r="E21" s="94" t="s">
        <v>51</v>
      </c>
      <c r="F21" s="95"/>
      <c r="G21" s="95"/>
      <c r="H21" s="133" t="s">
        <v>87</v>
      </c>
    </row>
    <row r="22" spans="1:8" ht="14.5" x14ac:dyDescent="0.35">
      <c r="A22" s="108" t="s">
        <v>72</v>
      </c>
      <c r="B22" s="109" t="s">
        <v>50</v>
      </c>
      <c r="C22" s="109" t="s">
        <v>49</v>
      </c>
      <c r="D22" s="109" t="s">
        <v>53</v>
      </c>
      <c r="E22" s="109" t="s">
        <v>51</v>
      </c>
      <c r="F22" s="110"/>
      <c r="G22" s="110"/>
    </row>
    <row r="23" spans="1:8" ht="14.5" x14ac:dyDescent="0.35">
      <c r="A23" s="99" t="s">
        <v>73</v>
      </c>
      <c r="B23" s="100" t="s">
        <v>50</v>
      </c>
      <c r="C23" s="100" t="s">
        <v>49</v>
      </c>
      <c r="D23" s="100" t="s">
        <v>53</v>
      </c>
      <c r="E23" s="100" t="s">
        <v>51</v>
      </c>
      <c r="F23" s="101"/>
      <c r="G23" s="101"/>
    </row>
    <row r="24" spans="1:8" ht="14.5" x14ac:dyDescent="0.25">
      <c r="A24" s="104" t="s">
        <v>76</v>
      </c>
      <c r="B24" s="104" t="s">
        <v>50</v>
      </c>
      <c r="C24" s="104" t="s">
        <v>49</v>
      </c>
      <c r="D24" s="104" t="s">
        <v>53</v>
      </c>
      <c r="E24" s="104" t="s">
        <v>51</v>
      </c>
      <c r="F24" s="105"/>
      <c r="G24" s="105"/>
    </row>
    <row r="25" spans="1:8" ht="14.5" x14ac:dyDescent="0.25">
      <c r="A25" s="106" t="s">
        <v>77</v>
      </c>
      <c r="B25" s="106" t="s">
        <v>50</v>
      </c>
      <c r="C25" s="106" t="s">
        <v>49</v>
      </c>
      <c r="D25" s="106" t="s">
        <v>53</v>
      </c>
      <c r="E25" s="106" t="s">
        <v>51</v>
      </c>
      <c r="F25" s="107"/>
      <c r="G25" s="107"/>
    </row>
    <row r="26" spans="1:8" ht="14.5" x14ac:dyDescent="0.25">
      <c r="A26" s="134" t="s">
        <v>61</v>
      </c>
      <c r="B26" s="90" t="s">
        <v>50</v>
      </c>
      <c r="C26" s="90" t="s">
        <v>49</v>
      </c>
      <c r="D26" s="90" t="s">
        <v>53</v>
      </c>
      <c r="E26" s="90" t="s">
        <v>51</v>
      </c>
      <c r="F26" s="91"/>
      <c r="G26" s="91"/>
    </row>
    <row r="27" spans="1:8" ht="14.5" x14ac:dyDescent="0.35">
      <c r="A27" s="135" t="s">
        <v>79</v>
      </c>
      <c r="B27" s="136" t="s">
        <v>50</v>
      </c>
      <c r="C27" s="137" t="s">
        <v>49</v>
      </c>
      <c r="D27" s="136" t="s">
        <v>53</v>
      </c>
      <c r="E27" s="112" t="s">
        <v>51</v>
      </c>
      <c r="F27" s="113"/>
      <c r="G27" s="113"/>
    </row>
    <row r="28" spans="1:8" ht="14.5" x14ac:dyDescent="0.35">
      <c r="A28" s="138" t="s">
        <v>80</v>
      </c>
      <c r="B28" s="139" t="s">
        <v>50</v>
      </c>
      <c r="C28" s="139" t="s">
        <v>49</v>
      </c>
      <c r="D28" s="140" t="s">
        <v>53</v>
      </c>
      <c r="E28" s="114" t="s">
        <v>51</v>
      </c>
      <c r="F28" s="114"/>
      <c r="G28" s="115"/>
    </row>
    <row r="29" spans="1:8" ht="14.5" x14ac:dyDescent="0.35">
      <c r="A29" s="141" t="s">
        <v>82</v>
      </c>
      <c r="B29" s="142" t="s">
        <v>53</v>
      </c>
      <c r="C29" s="143" t="s">
        <v>49</v>
      </c>
      <c r="D29" s="144" t="s">
        <v>49</v>
      </c>
      <c r="E29" s="145" t="s">
        <v>49</v>
      </c>
      <c r="F29" s="129"/>
      <c r="G29" s="129"/>
    </row>
    <row r="30" spans="1:8" ht="14.5" x14ac:dyDescent="0.25">
      <c r="A30" s="146" t="s">
        <v>86</v>
      </c>
      <c r="B30" s="147" t="s">
        <v>53</v>
      </c>
      <c r="C30" s="148" t="s">
        <v>49</v>
      </c>
      <c r="D30" s="148" t="s">
        <v>49</v>
      </c>
      <c r="E30" s="131" t="s">
        <v>49</v>
      </c>
      <c r="F30" s="132"/>
      <c r="G30" s="132"/>
    </row>
    <row r="31" spans="1:8" ht="14.5" x14ac:dyDescent="0.25">
      <c r="A31" s="149" t="s">
        <v>102</v>
      </c>
      <c r="B31" s="150" t="s">
        <v>53</v>
      </c>
      <c r="C31" s="150" t="s">
        <v>49</v>
      </c>
      <c r="D31" s="150" t="s">
        <v>49</v>
      </c>
      <c r="E31" s="150" t="s">
        <v>49</v>
      </c>
      <c r="F31" s="151"/>
      <c r="G31" s="151"/>
    </row>
    <row r="32" spans="1:8" ht="14.5" x14ac:dyDescent="0.25">
      <c r="A32" s="152" t="s">
        <v>103</v>
      </c>
      <c r="B32" s="152" t="s">
        <v>50</v>
      </c>
      <c r="C32" s="152" t="s">
        <v>49</v>
      </c>
      <c r="D32" s="152" t="s">
        <v>53</v>
      </c>
      <c r="E32" s="152" t="s">
        <v>51</v>
      </c>
      <c r="F32" s="153"/>
      <c r="G32" s="153"/>
    </row>
    <row r="33" spans="1:8" ht="14.5" x14ac:dyDescent="0.35">
      <c r="A33" s="154" t="s">
        <v>104</v>
      </c>
      <c r="B33" s="154" t="s">
        <v>50</v>
      </c>
      <c r="C33" s="154" t="s">
        <v>49</v>
      </c>
      <c r="D33" s="154" t="s">
        <v>53</v>
      </c>
      <c r="E33" s="154" t="s">
        <v>51</v>
      </c>
      <c r="F33" s="154"/>
      <c r="G33" s="154"/>
      <c r="H33" s="155" t="s">
        <v>105</v>
      </c>
    </row>
    <row r="34" spans="1:8" ht="14.5" x14ac:dyDescent="0.25">
      <c r="A34" s="156" t="s">
        <v>106</v>
      </c>
      <c r="B34" s="156" t="s">
        <v>50</v>
      </c>
      <c r="C34" s="156" t="s">
        <v>49</v>
      </c>
      <c r="D34" s="156" t="s">
        <v>53</v>
      </c>
      <c r="E34" s="156" t="s">
        <v>51</v>
      </c>
      <c r="F34" s="156"/>
      <c r="G34" s="156"/>
      <c r="H34" s="157" t="s">
        <v>107</v>
      </c>
    </row>
    <row r="35" spans="1:8" ht="14.5" x14ac:dyDescent="0.35">
      <c r="A35" s="111" t="s">
        <v>108</v>
      </c>
      <c r="B35" s="111" t="s">
        <v>50</v>
      </c>
      <c r="C35" s="111" t="s">
        <v>49</v>
      </c>
      <c r="D35" s="111" t="s">
        <v>53</v>
      </c>
      <c r="E35" s="111" t="s">
        <v>51</v>
      </c>
      <c r="F35" s="111"/>
      <c r="G35" s="111"/>
      <c r="H35" s="155" t="s">
        <v>105</v>
      </c>
    </row>
    <row r="36" spans="1:8" ht="14.5" x14ac:dyDescent="0.25">
      <c r="A36" s="158" t="s">
        <v>109</v>
      </c>
      <c r="B36" s="158" t="s">
        <v>50</v>
      </c>
      <c r="C36" s="158" t="s">
        <v>49</v>
      </c>
      <c r="D36" s="158" t="s">
        <v>53</v>
      </c>
      <c r="E36" s="158" t="s">
        <v>51</v>
      </c>
      <c r="F36" s="158"/>
      <c r="G36" s="158"/>
      <c r="H36" s="157" t="s">
        <v>105</v>
      </c>
    </row>
    <row r="37" spans="1:8" ht="14.5" x14ac:dyDescent="0.35">
      <c r="A37" s="159" t="s">
        <v>110</v>
      </c>
      <c r="B37" s="160" t="s">
        <v>50</v>
      </c>
      <c r="C37" s="160" t="s">
        <v>49</v>
      </c>
      <c r="D37" s="160" t="s">
        <v>53</v>
      </c>
      <c r="E37" s="160" t="s">
        <v>51</v>
      </c>
      <c r="F37" s="160"/>
      <c r="G37" s="161"/>
    </row>
    <row r="38" spans="1:8" ht="14.5" x14ac:dyDescent="0.35">
      <c r="A38" s="162" t="s">
        <v>108</v>
      </c>
      <c r="B38" s="162" t="s">
        <v>50</v>
      </c>
      <c r="C38" s="162" t="s">
        <v>49</v>
      </c>
      <c r="D38" s="162" t="s">
        <v>53</v>
      </c>
      <c r="E38" s="162" t="s">
        <v>51</v>
      </c>
      <c r="F38" s="162"/>
      <c r="G38" s="162"/>
    </row>
  </sheetData>
  <conditionalFormatting sqref="A1:A20 A39:A65536">
    <cfRule type="expression" dxfId="8" priority="10" stopIfTrue="1">
      <formula>AND(COUNTIF($A$1:$A$20, A1)+COUNTIF($A$22:$A$65536, A1)&gt;1,NOT(ISBLANK(A1)))</formula>
    </cfRule>
  </conditionalFormatting>
  <conditionalFormatting sqref="A1:A32 A39:A65536 A37">
    <cfRule type="expression" dxfId="7" priority="11" stopIfTrue="1">
      <formula>AND(COUNTIF($A$1:$A$32, A1)+COUNTIF($A$37:$A$65536, A1)&gt;1,NOT(ISBLANK(A1)))</formula>
    </cfRule>
  </conditionalFormatting>
  <conditionalFormatting sqref="A21">
    <cfRule type="duplicateValues" dxfId="6" priority="9" stopIfTrue="1"/>
  </conditionalFormatting>
  <conditionalFormatting sqref="A24">
    <cfRule type="duplicateValues" dxfId="5" priority="8" stopIfTrue="1"/>
  </conditionalFormatting>
  <conditionalFormatting sqref="A25">
    <cfRule type="duplicateValues" dxfId="4" priority="7" stopIfTrue="1"/>
  </conditionalFormatting>
  <conditionalFormatting sqref="A26">
    <cfRule type="duplicateValues" dxfId="3" priority="6" stopIfTrue="1"/>
  </conditionalFormatting>
  <conditionalFormatting sqref="A29">
    <cfRule type="duplicateValues" dxfId="2" priority="5" stopIfTrue="1"/>
  </conditionalFormatting>
  <conditionalFormatting sqref="A30:A32">
    <cfRule type="expression" dxfId="1" priority="2" stopIfTrue="1">
      <formula>AND(COUNTIF($A$1:$A$20, A30)+COUNTIF($A$22:$A$65536, A30)&gt;1,NOT(ISBLANK(A30)))</formula>
    </cfRule>
  </conditionalFormatting>
  <conditionalFormatting sqref="A31:A3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Prod Planning Plant 5 &amp; 6(D365)</vt:lpstr>
      <vt:lpstr>Sheet1</vt:lpstr>
      <vt:lpstr>Pivot CPCF</vt:lpstr>
      <vt:lpstr>AM</vt:lpstr>
      <vt:lpstr>Product Color</vt:lpstr>
      <vt:lpstr>'Prod Planning Plant 5 &amp; 6(D365)'!Print_Area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Lee Huang</dc:creator>
  <cp:lastModifiedBy>Matt Loh Wei Chean</cp:lastModifiedBy>
  <cp:lastPrinted>2024-09-04T01:03:08Z</cp:lastPrinted>
  <dcterms:created xsi:type="dcterms:W3CDTF">2015-11-02T01:18:51Z</dcterms:created>
  <dcterms:modified xsi:type="dcterms:W3CDTF">2025-12-10T08:00:18Z</dcterms:modified>
</cp:coreProperties>
</file>